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091b08507f51189/Desktop/part3_regression_insights/analysis/"/>
    </mc:Choice>
  </mc:AlternateContent>
  <xr:revisionPtr revIDLastSave="20" documentId="11_6DBFA75F5D855AFEB18ACE571C67587CCE9CFC42" xr6:coauthVersionLast="47" xr6:coauthVersionMax="47" xr10:uidLastSave="{8AB2D087-A6EC-4661-BE4F-4DF08A63E16D}"/>
  <bookViews>
    <workbookView xWindow="-110" yWindow="-110" windowWidth="19420" windowHeight="11500" tabRatio="500" firstSheet="5" activeTab="6" xr2:uid="{00000000-000D-0000-FFFF-FFFF00000000}"/>
  </bookViews>
  <sheets>
    <sheet name="Original_Data" sheetId="1" r:id="rId1"/>
    <sheet name="Cleaned_Data" sheetId="2" r:id="rId2"/>
    <sheet name="Dummy_Variables" sheetId="3" r:id="rId3"/>
    <sheet name="Simple_Regression" sheetId="4" r:id="rId4"/>
    <sheet name="Multiple_Regression" sheetId="5" r:id="rId5"/>
    <sheet name="Predictions_Residuals" sheetId="6" r:id="rId6"/>
    <sheet name="Model_Comparison" sheetId="7" r:id="rId7"/>
  </sheets>
  <definedNames>
    <definedName name="_xlnm._FilterDatabase" localSheetId="1" hidden="1">Cleaned_Data!$A$4:$P$324</definedName>
    <definedName name="_xlnm._FilterDatabase" localSheetId="2" hidden="1">Dummy_Variables!$A$4:$Q$324</definedName>
    <definedName name="_xlnm._FilterDatabase" localSheetId="0" hidden="1">Original_Data!$A$4:$N$324</definedName>
    <definedName name="_xlnm._FilterDatabase" localSheetId="5" hidden="1">Predictions_Residuals!$A$4:$H$324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24" i="6" l="1"/>
  <c r="D324" i="6"/>
  <c r="C324" i="6"/>
  <c r="B324" i="6"/>
  <c r="A324" i="6"/>
  <c r="E323" i="6"/>
  <c r="D323" i="6"/>
  <c r="C323" i="6"/>
  <c r="B323" i="6"/>
  <c r="A323" i="6"/>
  <c r="E322" i="6"/>
  <c r="D322" i="6"/>
  <c r="C322" i="6"/>
  <c r="B322" i="6"/>
  <c r="A322" i="6"/>
  <c r="E321" i="6"/>
  <c r="D321" i="6"/>
  <c r="C321" i="6"/>
  <c r="B321" i="6"/>
  <c r="A321" i="6"/>
  <c r="E320" i="6"/>
  <c r="D320" i="6"/>
  <c r="C320" i="6"/>
  <c r="B320" i="6"/>
  <c r="A320" i="6"/>
  <c r="E319" i="6"/>
  <c r="D319" i="6"/>
  <c r="C319" i="6"/>
  <c r="B319" i="6"/>
  <c r="A319" i="6"/>
  <c r="E318" i="6"/>
  <c r="D318" i="6"/>
  <c r="C318" i="6"/>
  <c r="B318" i="6"/>
  <c r="A318" i="6"/>
  <c r="E317" i="6"/>
  <c r="D317" i="6"/>
  <c r="C317" i="6"/>
  <c r="B317" i="6"/>
  <c r="A317" i="6"/>
  <c r="E316" i="6"/>
  <c r="D316" i="6"/>
  <c r="C316" i="6"/>
  <c r="B316" i="6"/>
  <c r="A316" i="6"/>
  <c r="E315" i="6"/>
  <c r="D315" i="6"/>
  <c r="C315" i="6"/>
  <c r="B315" i="6"/>
  <c r="A315" i="6"/>
  <c r="E314" i="6"/>
  <c r="D314" i="6"/>
  <c r="C314" i="6"/>
  <c r="B314" i="6"/>
  <c r="A314" i="6"/>
  <c r="E313" i="6"/>
  <c r="D313" i="6"/>
  <c r="C313" i="6"/>
  <c r="B313" i="6"/>
  <c r="A313" i="6"/>
  <c r="E312" i="6"/>
  <c r="D312" i="6"/>
  <c r="C312" i="6"/>
  <c r="B312" i="6"/>
  <c r="A312" i="6"/>
  <c r="E311" i="6"/>
  <c r="D311" i="6"/>
  <c r="C311" i="6"/>
  <c r="B311" i="6"/>
  <c r="A311" i="6"/>
  <c r="E310" i="6"/>
  <c r="D310" i="6"/>
  <c r="C310" i="6"/>
  <c r="B310" i="6"/>
  <c r="A310" i="6"/>
  <c r="E309" i="6"/>
  <c r="D309" i="6"/>
  <c r="C309" i="6"/>
  <c r="B309" i="6"/>
  <c r="A309" i="6"/>
  <c r="E308" i="6"/>
  <c r="D308" i="6"/>
  <c r="C308" i="6"/>
  <c r="B308" i="6"/>
  <c r="A308" i="6"/>
  <c r="E307" i="6"/>
  <c r="D307" i="6"/>
  <c r="C307" i="6"/>
  <c r="B307" i="6"/>
  <c r="A307" i="6"/>
  <c r="E306" i="6"/>
  <c r="D306" i="6"/>
  <c r="C306" i="6"/>
  <c r="B306" i="6"/>
  <c r="A306" i="6"/>
  <c r="E305" i="6"/>
  <c r="D305" i="6"/>
  <c r="C305" i="6"/>
  <c r="B305" i="6"/>
  <c r="A305" i="6"/>
  <c r="E304" i="6"/>
  <c r="D304" i="6"/>
  <c r="C304" i="6"/>
  <c r="B304" i="6"/>
  <c r="A304" i="6"/>
  <c r="E303" i="6"/>
  <c r="D303" i="6"/>
  <c r="C303" i="6"/>
  <c r="B303" i="6"/>
  <c r="A303" i="6"/>
  <c r="E302" i="6"/>
  <c r="D302" i="6"/>
  <c r="C302" i="6"/>
  <c r="B302" i="6"/>
  <c r="A302" i="6"/>
  <c r="E301" i="6"/>
  <c r="D301" i="6"/>
  <c r="C301" i="6"/>
  <c r="B301" i="6"/>
  <c r="A301" i="6"/>
  <c r="E300" i="6"/>
  <c r="D300" i="6"/>
  <c r="C300" i="6"/>
  <c r="B300" i="6"/>
  <c r="A300" i="6"/>
  <c r="E299" i="6"/>
  <c r="D299" i="6"/>
  <c r="C299" i="6"/>
  <c r="B299" i="6"/>
  <c r="A299" i="6"/>
  <c r="E298" i="6"/>
  <c r="D298" i="6"/>
  <c r="C298" i="6"/>
  <c r="B298" i="6"/>
  <c r="A298" i="6"/>
  <c r="E297" i="6"/>
  <c r="D297" i="6"/>
  <c r="C297" i="6"/>
  <c r="B297" i="6"/>
  <c r="A297" i="6"/>
  <c r="E296" i="6"/>
  <c r="D296" i="6"/>
  <c r="C296" i="6"/>
  <c r="B296" i="6"/>
  <c r="A296" i="6"/>
  <c r="E295" i="6"/>
  <c r="D295" i="6"/>
  <c r="C295" i="6"/>
  <c r="B295" i="6"/>
  <c r="A295" i="6"/>
  <c r="E294" i="6"/>
  <c r="D294" i="6"/>
  <c r="C294" i="6"/>
  <c r="B294" i="6"/>
  <c r="A294" i="6"/>
  <c r="E293" i="6"/>
  <c r="D293" i="6"/>
  <c r="C293" i="6"/>
  <c r="B293" i="6"/>
  <c r="A293" i="6"/>
  <c r="E292" i="6"/>
  <c r="D292" i="6"/>
  <c r="C292" i="6"/>
  <c r="B292" i="6"/>
  <c r="A292" i="6"/>
  <c r="E291" i="6"/>
  <c r="D291" i="6"/>
  <c r="C291" i="6"/>
  <c r="B291" i="6"/>
  <c r="A291" i="6"/>
  <c r="E290" i="6"/>
  <c r="D290" i="6"/>
  <c r="C290" i="6"/>
  <c r="B290" i="6"/>
  <c r="A290" i="6"/>
  <c r="E289" i="6"/>
  <c r="D289" i="6"/>
  <c r="C289" i="6"/>
  <c r="B289" i="6"/>
  <c r="A289" i="6"/>
  <c r="E288" i="6"/>
  <c r="D288" i="6"/>
  <c r="C288" i="6"/>
  <c r="B288" i="6"/>
  <c r="A288" i="6"/>
  <c r="E287" i="6"/>
  <c r="D287" i="6"/>
  <c r="C287" i="6"/>
  <c r="B287" i="6"/>
  <c r="A287" i="6"/>
  <c r="E286" i="6"/>
  <c r="D286" i="6"/>
  <c r="C286" i="6"/>
  <c r="B286" i="6"/>
  <c r="A286" i="6"/>
  <c r="E285" i="6"/>
  <c r="D285" i="6"/>
  <c r="C285" i="6"/>
  <c r="B285" i="6"/>
  <c r="A285" i="6"/>
  <c r="E284" i="6"/>
  <c r="D284" i="6"/>
  <c r="C284" i="6"/>
  <c r="B284" i="6"/>
  <c r="A284" i="6"/>
  <c r="E283" i="6"/>
  <c r="D283" i="6"/>
  <c r="C283" i="6"/>
  <c r="B283" i="6"/>
  <c r="A283" i="6"/>
  <c r="E282" i="6"/>
  <c r="D282" i="6"/>
  <c r="C282" i="6"/>
  <c r="B282" i="6"/>
  <c r="A282" i="6"/>
  <c r="E281" i="6"/>
  <c r="D281" i="6"/>
  <c r="C281" i="6"/>
  <c r="B281" i="6"/>
  <c r="A281" i="6"/>
  <c r="E280" i="6"/>
  <c r="D280" i="6"/>
  <c r="C280" i="6"/>
  <c r="B280" i="6"/>
  <c r="A280" i="6"/>
  <c r="E279" i="6"/>
  <c r="D279" i="6"/>
  <c r="C279" i="6"/>
  <c r="B279" i="6"/>
  <c r="A279" i="6"/>
  <c r="E278" i="6"/>
  <c r="D278" i="6"/>
  <c r="C278" i="6"/>
  <c r="B278" i="6"/>
  <c r="A278" i="6"/>
  <c r="E277" i="6"/>
  <c r="D277" i="6"/>
  <c r="C277" i="6"/>
  <c r="B277" i="6"/>
  <c r="A277" i="6"/>
  <c r="E276" i="6"/>
  <c r="D276" i="6"/>
  <c r="C276" i="6"/>
  <c r="B276" i="6"/>
  <c r="A276" i="6"/>
  <c r="E275" i="6"/>
  <c r="D275" i="6"/>
  <c r="C275" i="6"/>
  <c r="B275" i="6"/>
  <c r="A275" i="6"/>
  <c r="E274" i="6"/>
  <c r="D274" i="6"/>
  <c r="C274" i="6"/>
  <c r="B274" i="6"/>
  <c r="A274" i="6"/>
  <c r="E273" i="6"/>
  <c r="D273" i="6"/>
  <c r="C273" i="6"/>
  <c r="B273" i="6"/>
  <c r="A273" i="6"/>
  <c r="E272" i="6"/>
  <c r="D272" i="6"/>
  <c r="C272" i="6"/>
  <c r="B272" i="6"/>
  <c r="A272" i="6"/>
  <c r="E271" i="6"/>
  <c r="D271" i="6"/>
  <c r="C271" i="6"/>
  <c r="B271" i="6"/>
  <c r="A271" i="6"/>
  <c r="E270" i="6"/>
  <c r="D270" i="6"/>
  <c r="C270" i="6"/>
  <c r="B270" i="6"/>
  <c r="A270" i="6"/>
  <c r="E269" i="6"/>
  <c r="D269" i="6"/>
  <c r="C269" i="6"/>
  <c r="B269" i="6"/>
  <c r="A269" i="6"/>
  <c r="E268" i="6"/>
  <c r="D268" i="6"/>
  <c r="C268" i="6"/>
  <c r="B268" i="6"/>
  <c r="A268" i="6"/>
  <c r="E267" i="6"/>
  <c r="D267" i="6"/>
  <c r="C267" i="6"/>
  <c r="B267" i="6"/>
  <c r="A267" i="6"/>
  <c r="E266" i="6"/>
  <c r="D266" i="6"/>
  <c r="C266" i="6"/>
  <c r="B266" i="6"/>
  <c r="A266" i="6"/>
  <c r="E265" i="6"/>
  <c r="D265" i="6"/>
  <c r="C265" i="6"/>
  <c r="B265" i="6"/>
  <c r="A265" i="6"/>
  <c r="E264" i="6"/>
  <c r="D264" i="6"/>
  <c r="C264" i="6"/>
  <c r="B264" i="6"/>
  <c r="A264" i="6"/>
  <c r="E263" i="6"/>
  <c r="D263" i="6"/>
  <c r="C263" i="6"/>
  <c r="B263" i="6"/>
  <c r="A263" i="6"/>
  <c r="E262" i="6"/>
  <c r="D262" i="6"/>
  <c r="C262" i="6"/>
  <c r="B262" i="6"/>
  <c r="A262" i="6"/>
  <c r="E261" i="6"/>
  <c r="D261" i="6"/>
  <c r="C261" i="6"/>
  <c r="B261" i="6"/>
  <c r="A261" i="6"/>
  <c r="E260" i="6"/>
  <c r="D260" i="6"/>
  <c r="C260" i="6"/>
  <c r="B260" i="6"/>
  <c r="A260" i="6"/>
  <c r="E259" i="6"/>
  <c r="D259" i="6"/>
  <c r="C259" i="6"/>
  <c r="B259" i="6"/>
  <c r="A259" i="6"/>
  <c r="E258" i="6"/>
  <c r="D258" i="6"/>
  <c r="C258" i="6"/>
  <c r="B258" i="6"/>
  <c r="A258" i="6"/>
  <c r="E257" i="6"/>
  <c r="D257" i="6"/>
  <c r="C257" i="6"/>
  <c r="B257" i="6"/>
  <c r="A257" i="6"/>
  <c r="E256" i="6"/>
  <c r="D256" i="6"/>
  <c r="C256" i="6"/>
  <c r="B256" i="6"/>
  <c r="A256" i="6"/>
  <c r="E255" i="6"/>
  <c r="D255" i="6"/>
  <c r="C255" i="6"/>
  <c r="B255" i="6"/>
  <c r="A255" i="6"/>
  <c r="E254" i="6"/>
  <c r="D254" i="6"/>
  <c r="C254" i="6"/>
  <c r="B254" i="6"/>
  <c r="A254" i="6"/>
  <c r="E253" i="6"/>
  <c r="D253" i="6"/>
  <c r="C253" i="6"/>
  <c r="B253" i="6"/>
  <c r="A253" i="6"/>
  <c r="E252" i="6"/>
  <c r="D252" i="6"/>
  <c r="C252" i="6"/>
  <c r="B252" i="6"/>
  <c r="A252" i="6"/>
  <c r="E251" i="6"/>
  <c r="D251" i="6"/>
  <c r="C251" i="6"/>
  <c r="B251" i="6"/>
  <c r="A251" i="6"/>
  <c r="E250" i="6"/>
  <c r="D250" i="6"/>
  <c r="C250" i="6"/>
  <c r="B250" i="6"/>
  <c r="A250" i="6"/>
  <c r="E249" i="6"/>
  <c r="D249" i="6"/>
  <c r="C249" i="6"/>
  <c r="B249" i="6"/>
  <c r="A249" i="6"/>
  <c r="E248" i="6"/>
  <c r="D248" i="6"/>
  <c r="C248" i="6"/>
  <c r="B248" i="6"/>
  <c r="A248" i="6"/>
  <c r="E247" i="6"/>
  <c r="D247" i="6"/>
  <c r="C247" i="6"/>
  <c r="B247" i="6"/>
  <c r="A247" i="6"/>
  <c r="E246" i="6"/>
  <c r="D246" i="6"/>
  <c r="C246" i="6"/>
  <c r="B246" i="6"/>
  <c r="A246" i="6"/>
  <c r="E245" i="6"/>
  <c r="D245" i="6"/>
  <c r="C245" i="6"/>
  <c r="B245" i="6"/>
  <c r="A245" i="6"/>
  <c r="E244" i="6"/>
  <c r="D244" i="6"/>
  <c r="C244" i="6"/>
  <c r="B244" i="6"/>
  <c r="A244" i="6"/>
  <c r="E243" i="6"/>
  <c r="D243" i="6"/>
  <c r="C243" i="6"/>
  <c r="B243" i="6"/>
  <c r="A243" i="6"/>
  <c r="E242" i="6"/>
  <c r="D242" i="6"/>
  <c r="C242" i="6"/>
  <c r="B242" i="6"/>
  <c r="A242" i="6"/>
  <c r="E241" i="6"/>
  <c r="D241" i="6"/>
  <c r="C241" i="6"/>
  <c r="B241" i="6"/>
  <c r="A241" i="6"/>
  <c r="E240" i="6"/>
  <c r="D240" i="6"/>
  <c r="C240" i="6"/>
  <c r="B240" i="6"/>
  <c r="A240" i="6"/>
  <c r="E239" i="6"/>
  <c r="D239" i="6"/>
  <c r="C239" i="6"/>
  <c r="B239" i="6"/>
  <c r="A239" i="6"/>
  <c r="E238" i="6"/>
  <c r="D238" i="6"/>
  <c r="C238" i="6"/>
  <c r="B238" i="6"/>
  <c r="A238" i="6"/>
  <c r="E237" i="6"/>
  <c r="D237" i="6"/>
  <c r="C237" i="6"/>
  <c r="B237" i="6"/>
  <c r="A237" i="6"/>
  <c r="E236" i="6"/>
  <c r="D236" i="6"/>
  <c r="C236" i="6"/>
  <c r="B236" i="6"/>
  <c r="A236" i="6"/>
  <c r="E235" i="6"/>
  <c r="D235" i="6"/>
  <c r="C235" i="6"/>
  <c r="B235" i="6"/>
  <c r="A235" i="6"/>
  <c r="E234" i="6"/>
  <c r="D234" i="6"/>
  <c r="C234" i="6"/>
  <c r="B234" i="6"/>
  <c r="A234" i="6"/>
  <c r="E233" i="6"/>
  <c r="D233" i="6"/>
  <c r="C233" i="6"/>
  <c r="B233" i="6"/>
  <c r="A233" i="6"/>
  <c r="E232" i="6"/>
  <c r="D232" i="6"/>
  <c r="C232" i="6"/>
  <c r="B232" i="6"/>
  <c r="A232" i="6"/>
  <c r="E231" i="6"/>
  <c r="D231" i="6"/>
  <c r="C231" i="6"/>
  <c r="B231" i="6"/>
  <c r="A231" i="6"/>
  <c r="E230" i="6"/>
  <c r="D230" i="6"/>
  <c r="C230" i="6"/>
  <c r="B230" i="6"/>
  <c r="A230" i="6"/>
  <c r="E229" i="6"/>
  <c r="D229" i="6"/>
  <c r="C229" i="6"/>
  <c r="B229" i="6"/>
  <c r="A229" i="6"/>
  <c r="E228" i="6"/>
  <c r="D228" i="6"/>
  <c r="C228" i="6"/>
  <c r="B228" i="6"/>
  <c r="A228" i="6"/>
  <c r="E227" i="6"/>
  <c r="D227" i="6"/>
  <c r="C227" i="6"/>
  <c r="B227" i="6"/>
  <c r="A227" i="6"/>
  <c r="E226" i="6"/>
  <c r="D226" i="6"/>
  <c r="C226" i="6"/>
  <c r="B226" i="6"/>
  <c r="A226" i="6"/>
  <c r="E225" i="6"/>
  <c r="D225" i="6"/>
  <c r="C225" i="6"/>
  <c r="B225" i="6"/>
  <c r="A225" i="6"/>
  <c r="E224" i="6"/>
  <c r="D224" i="6"/>
  <c r="C224" i="6"/>
  <c r="B224" i="6"/>
  <c r="A224" i="6"/>
  <c r="E223" i="6"/>
  <c r="D223" i="6"/>
  <c r="C223" i="6"/>
  <c r="B223" i="6"/>
  <c r="A223" i="6"/>
  <c r="E222" i="6"/>
  <c r="D222" i="6"/>
  <c r="C222" i="6"/>
  <c r="B222" i="6"/>
  <c r="A222" i="6"/>
  <c r="E221" i="6"/>
  <c r="D221" i="6"/>
  <c r="C221" i="6"/>
  <c r="B221" i="6"/>
  <c r="A221" i="6"/>
  <c r="E220" i="6"/>
  <c r="D220" i="6"/>
  <c r="C220" i="6"/>
  <c r="B220" i="6"/>
  <c r="A220" i="6"/>
  <c r="E219" i="6"/>
  <c r="D219" i="6"/>
  <c r="C219" i="6"/>
  <c r="B219" i="6"/>
  <c r="A219" i="6"/>
  <c r="E218" i="6"/>
  <c r="D218" i="6"/>
  <c r="C218" i="6"/>
  <c r="B218" i="6"/>
  <c r="A218" i="6"/>
  <c r="E217" i="6"/>
  <c r="D217" i="6"/>
  <c r="C217" i="6"/>
  <c r="B217" i="6"/>
  <c r="A217" i="6"/>
  <c r="E216" i="6"/>
  <c r="D216" i="6"/>
  <c r="C216" i="6"/>
  <c r="B216" i="6"/>
  <c r="A216" i="6"/>
  <c r="E215" i="6"/>
  <c r="D215" i="6"/>
  <c r="C215" i="6"/>
  <c r="B215" i="6"/>
  <c r="A215" i="6"/>
  <c r="E214" i="6"/>
  <c r="D214" i="6"/>
  <c r="C214" i="6"/>
  <c r="B214" i="6"/>
  <c r="A214" i="6"/>
  <c r="E213" i="6"/>
  <c r="D213" i="6"/>
  <c r="C213" i="6"/>
  <c r="B213" i="6"/>
  <c r="A213" i="6"/>
  <c r="E212" i="6"/>
  <c r="D212" i="6"/>
  <c r="C212" i="6"/>
  <c r="B212" i="6"/>
  <c r="A212" i="6"/>
  <c r="E211" i="6"/>
  <c r="D211" i="6"/>
  <c r="C211" i="6"/>
  <c r="B211" i="6"/>
  <c r="A211" i="6"/>
  <c r="E210" i="6"/>
  <c r="D210" i="6"/>
  <c r="C210" i="6"/>
  <c r="B210" i="6"/>
  <c r="A210" i="6"/>
  <c r="E209" i="6"/>
  <c r="D209" i="6"/>
  <c r="C209" i="6"/>
  <c r="B209" i="6"/>
  <c r="A209" i="6"/>
  <c r="E208" i="6"/>
  <c r="D208" i="6"/>
  <c r="C208" i="6"/>
  <c r="B208" i="6"/>
  <c r="A208" i="6"/>
  <c r="E207" i="6"/>
  <c r="D207" i="6"/>
  <c r="C207" i="6"/>
  <c r="B207" i="6"/>
  <c r="A207" i="6"/>
  <c r="E206" i="6"/>
  <c r="D206" i="6"/>
  <c r="C206" i="6"/>
  <c r="B206" i="6"/>
  <c r="A206" i="6"/>
  <c r="E205" i="6"/>
  <c r="D205" i="6"/>
  <c r="C205" i="6"/>
  <c r="B205" i="6"/>
  <c r="A205" i="6"/>
  <c r="E204" i="6"/>
  <c r="D204" i="6"/>
  <c r="C204" i="6"/>
  <c r="B204" i="6"/>
  <c r="A204" i="6"/>
  <c r="E203" i="6"/>
  <c r="D203" i="6"/>
  <c r="C203" i="6"/>
  <c r="B203" i="6"/>
  <c r="A203" i="6"/>
  <c r="E202" i="6"/>
  <c r="D202" i="6"/>
  <c r="C202" i="6"/>
  <c r="B202" i="6"/>
  <c r="A202" i="6"/>
  <c r="E201" i="6"/>
  <c r="D201" i="6"/>
  <c r="C201" i="6"/>
  <c r="B201" i="6"/>
  <c r="A201" i="6"/>
  <c r="E200" i="6"/>
  <c r="D200" i="6"/>
  <c r="C200" i="6"/>
  <c r="B200" i="6"/>
  <c r="A200" i="6"/>
  <c r="E199" i="6"/>
  <c r="D199" i="6"/>
  <c r="C199" i="6"/>
  <c r="B199" i="6"/>
  <c r="A199" i="6"/>
  <c r="E198" i="6"/>
  <c r="D198" i="6"/>
  <c r="C198" i="6"/>
  <c r="B198" i="6"/>
  <c r="A198" i="6"/>
  <c r="E197" i="6"/>
  <c r="D197" i="6"/>
  <c r="C197" i="6"/>
  <c r="B197" i="6"/>
  <c r="A197" i="6"/>
  <c r="E196" i="6"/>
  <c r="D196" i="6"/>
  <c r="C196" i="6"/>
  <c r="B196" i="6"/>
  <c r="A196" i="6"/>
  <c r="E195" i="6"/>
  <c r="D195" i="6"/>
  <c r="C195" i="6"/>
  <c r="B195" i="6"/>
  <c r="A195" i="6"/>
  <c r="E194" i="6"/>
  <c r="D194" i="6"/>
  <c r="C194" i="6"/>
  <c r="B194" i="6"/>
  <c r="A194" i="6"/>
  <c r="E193" i="6"/>
  <c r="D193" i="6"/>
  <c r="C193" i="6"/>
  <c r="B193" i="6"/>
  <c r="A193" i="6"/>
  <c r="E192" i="6"/>
  <c r="D192" i="6"/>
  <c r="C192" i="6"/>
  <c r="B192" i="6"/>
  <c r="A192" i="6"/>
  <c r="E191" i="6"/>
  <c r="D191" i="6"/>
  <c r="C191" i="6"/>
  <c r="B191" i="6"/>
  <c r="A191" i="6"/>
  <c r="E190" i="6"/>
  <c r="D190" i="6"/>
  <c r="C190" i="6"/>
  <c r="B190" i="6"/>
  <c r="A190" i="6"/>
  <c r="E189" i="6"/>
  <c r="D189" i="6"/>
  <c r="C189" i="6"/>
  <c r="B189" i="6"/>
  <c r="A189" i="6"/>
  <c r="E188" i="6"/>
  <c r="D188" i="6"/>
  <c r="C188" i="6"/>
  <c r="B188" i="6"/>
  <c r="A188" i="6"/>
  <c r="E187" i="6"/>
  <c r="D187" i="6"/>
  <c r="C187" i="6"/>
  <c r="B187" i="6"/>
  <c r="A187" i="6"/>
  <c r="E186" i="6"/>
  <c r="D186" i="6"/>
  <c r="C186" i="6"/>
  <c r="B186" i="6"/>
  <c r="A186" i="6"/>
  <c r="E185" i="6"/>
  <c r="D185" i="6"/>
  <c r="C185" i="6"/>
  <c r="B185" i="6"/>
  <c r="A185" i="6"/>
  <c r="E184" i="6"/>
  <c r="D184" i="6"/>
  <c r="C184" i="6"/>
  <c r="B184" i="6"/>
  <c r="A184" i="6"/>
  <c r="E183" i="6"/>
  <c r="D183" i="6"/>
  <c r="C183" i="6"/>
  <c r="B183" i="6"/>
  <c r="A183" i="6"/>
  <c r="E182" i="6"/>
  <c r="D182" i="6"/>
  <c r="C182" i="6"/>
  <c r="B182" i="6"/>
  <c r="A182" i="6"/>
  <c r="E181" i="6"/>
  <c r="D181" i="6"/>
  <c r="C181" i="6"/>
  <c r="B181" i="6"/>
  <c r="A181" i="6"/>
  <c r="E180" i="6"/>
  <c r="D180" i="6"/>
  <c r="C180" i="6"/>
  <c r="B180" i="6"/>
  <c r="A180" i="6"/>
  <c r="E179" i="6"/>
  <c r="D179" i="6"/>
  <c r="C179" i="6"/>
  <c r="B179" i="6"/>
  <c r="A179" i="6"/>
  <c r="E178" i="6"/>
  <c r="D178" i="6"/>
  <c r="C178" i="6"/>
  <c r="B178" i="6"/>
  <c r="A178" i="6"/>
  <c r="E177" i="6"/>
  <c r="D177" i="6"/>
  <c r="C177" i="6"/>
  <c r="B177" i="6"/>
  <c r="A177" i="6"/>
  <c r="E176" i="6"/>
  <c r="D176" i="6"/>
  <c r="C176" i="6"/>
  <c r="B176" i="6"/>
  <c r="A176" i="6"/>
  <c r="E175" i="6"/>
  <c r="D175" i="6"/>
  <c r="C175" i="6"/>
  <c r="B175" i="6"/>
  <c r="A175" i="6"/>
  <c r="E174" i="6"/>
  <c r="D174" i="6"/>
  <c r="C174" i="6"/>
  <c r="B174" i="6"/>
  <c r="A174" i="6"/>
  <c r="E173" i="6"/>
  <c r="D173" i="6"/>
  <c r="C173" i="6"/>
  <c r="B173" i="6"/>
  <c r="A173" i="6"/>
  <c r="E172" i="6"/>
  <c r="D172" i="6"/>
  <c r="C172" i="6"/>
  <c r="B172" i="6"/>
  <c r="A172" i="6"/>
  <c r="E171" i="6"/>
  <c r="D171" i="6"/>
  <c r="C171" i="6"/>
  <c r="B171" i="6"/>
  <c r="A171" i="6"/>
  <c r="E170" i="6"/>
  <c r="D170" i="6"/>
  <c r="C170" i="6"/>
  <c r="B170" i="6"/>
  <c r="A170" i="6"/>
  <c r="E169" i="6"/>
  <c r="D169" i="6"/>
  <c r="C169" i="6"/>
  <c r="B169" i="6"/>
  <c r="A169" i="6"/>
  <c r="E168" i="6"/>
  <c r="D168" i="6"/>
  <c r="C168" i="6"/>
  <c r="B168" i="6"/>
  <c r="A168" i="6"/>
  <c r="E167" i="6"/>
  <c r="D167" i="6"/>
  <c r="C167" i="6"/>
  <c r="B167" i="6"/>
  <c r="A167" i="6"/>
  <c r="E166" i="6"/>
  <c r="D166" i="6"/>
  <c r="C166" i="6"/>
  <c r="B166" i="6"/>
  <c r="A166" i="6"/>
  <c r="E165" i="6"/>
  <c r="D165" i="6"/>
  <c r="C165" i="6"/>
  <c r="B165" i="6"/>
  <c r="A165" i="6"/>
  <c r="E164" i="6"/>
  <c r="D164" i="6"/>
  <c r="C164" i="6"/>
  <c r="B164" i="6"/>
  <c r="A164" i="6"/>
  <c r="E163" i="6"/>
  <c r="D163" i="6"/>
  <c r="C163" i="6"/>
  <c r="B163" i="6"/>
  <c r="A163" i="6"/>
  <c r="E162" i="6"/>
  <c r="D162" i="6"/>
  <c r="C162" i="6"/>
  <c r="B162" i="6"/>
  <c r="A162" i="6"/>
  <c r="E161" i="6"/>
  <c r="D161" i="6"/>
  <c r="C161" i="6"/>
  <c r="B161" i="6"/>
  <c r="A161" i="6"/>
  <c r="E160" i="6"/>
  <c r="D160" i="6"/>
  <c r="C160" i="6"/>
  <c r="B160" i="6"/>
  <c r="A160" i="6"/>
  <c r="E159" i="6"/>
  <c r="D159" i="6"/>
  <c r="C159" i="6"/>
  <c r="B159" i="6"/>
  <c r="A159" i="6"/>
  <c r="E158" i="6"/>
  <c r="D158" i="6"/>
  <c r="C158" i="6"/>
  <c r="B158" i="6"/>
  <c r="A158" i="6"/>
  <c r="E157" i="6"/>
  <c r="D157" i="6"/>
  <c r="C157" i="6"/>
  <c r="B157" i="6"/>
  <c r="A157" i="6"/>
  <c r="E156" i="6"/>
  <c r="D156" i="6"/>
  <c r="C156" i="6"/>
  <c r="B156" i="6"/>
  <c r="A156" i="6"/>
  <c r="E155" i="6"/>
  <c r="D155" i="6"/>
  <c r="C155" i="6"/>
  <c r="B155" i="6"/>
  <c r="A155" i="6"/>
  <c r="E154" i="6"/>
  <c r="D154" i="6"/>
  <c r="C154" i="6"/>
  <c r="B154" i="6"/>
  <c r="A154" i="6"/>
  <c r="E153" i="6"/>
  <c r="D153" i="6"/>
  <c r="C153" i="6"/>
  <c r="B153" i="6"/>
  <c r="A153" i="6"/>
  <c r="E152" i="6"/>
  <c r="D152" i="6"/>
  <c r="C152" i="6"/>
  <c r="B152" i="6"/>
  <c r="A152" i="6"/>
  <c r="E151" i="6"/>
  <c r="D151" i="6"/>
  <c r="C151" i="6"/>
  <c r="B151" i="6"/>
  <c r="A151" i="6"/>
  <c r="E150" i="6"/>
  <c r="D150" i="6"/>
  <c r="C150" i="6"/>
  <c r="B150" i="6"/>
  <c r="A150" i="6"/>
  <c r="E149" i="6"/>
  <c r="D149" i="6"/>
  <c r="C149" i="6"/>
  <c r="B149" i="6"/>
  <c r="A149" i="6"/>
  <c r="E148" i="6"/>
  <c r="D148" i="6"/>
  <c r="C148" i="6"/>
  <c r="B148" i="6"/>
  <c r="A148" i="6"/>
  <c r="E147" i="6"/>
  <c r="D147" i="6"/>
  <c r="C147" i="6"/>
  <c r="B147" i="6"/>
  <c r="A147" i="6"/>
  <c r="E146" i="6"/>
  <c r="D146" i="6"/>
  <c r="C146" i="6"/>
  <c r="B146" i="6"/>
  <c r="A146" i="6"/>
  <c r="E145" i="6"/>
  <c r="D145" i="6"/>
  <c r="C145" i="6"/>
  <c r="B145" i="6"/>
  <c r="A145" i="6"/>
  <c r="E144" i="6"/>
  <c r="D144" i="6"/>
  <c r="C144" i="6"/>
  <c r="B144" i="6"/>
  <c r="A144" i="6"/>
  <c r="E143" i="6"/>
  <c r="D143" i="6"/>
  <c r="C143" i="6"/>
  <c r="B143" i="6"/>
  <c r="A143" i="6"/>
  <c r="E142" i="6"/>
  <c r="D142" i="6"/>
  <c r="C142" i="6"/>
  <c r="B142" i="6"/>
  <c r="A142" i="6"/>
  <c r="E141" i="6"/>
  <c r="D141" i="6"/>
  <c r="C141" i="6"/>
  <c r="B141" i="6"/>
  <c r="A141" i="6"/>
  <c r="E140" i="6"/>
  <c r="D140" i="6"/>
  <c r="C140" i="6"/>
  <c r="B140" i="6"/>
  <c r="A140" i="6"/>
  <c r="E139" i="6"/>
  <c r="D139" i="6"/>
  <c r="C139" i="6"/>
  <c r="B139" i="6"/>
  <c r="A139" i="6"/>
  <c r="E138" i="6"/>
  <c r="D138" i="6"/>
  <c r="C138" i="6"/>
  <c r="B138" i="6"/>
  <c r="A138" i="6"/>
  <c r="E137" i="6"/>
  <c r="D137" i="6"/>
  <c r="C137" i="6"/>
  <c r="B137" i="6"/>
  <c r="A137" i="6"/>
  <c r="E136" i="6"/>
  <c r="D136" i="6"/>
  <c r="C136" i="6"/>
  <c r="B136" i="6"/>
  <c r="A136" i="6"/>
  <c r="E135" i="6"/>
  <c r="D135" i="6"/>
  <c r="C135" i="6"/>
  <c r="B135" i="6"/>
  <c r="A135" i="6"/>
  <c r="E134" i="6"/>
  <c r="D134" i="6"/>
  <c r="C134" i="6"/>
  <c r="B134" i="6"/>
  <c r="A134" i="6"/>
  <c r="E133" i="6"/>
  <c r="D133" i="6"/>
  <c r="C133" i="6"/>
  <c r="B133" i="6"/>
  <c r="A133" i="6"/>
  <c r="E132" i="6"/>
  <c r="D132" i="6"/>
  <c r="C132" i="6"/>
  <c r="B132" i="6"/>
  <c r="A132" i="6"/>
  <c r="E131" i="6"/>
  <c r="D131" i="6"/>
  <c r="C131" i="6"/>
  <c r="B131" i="6"/>
  <c r="A131" i="6"/>
  <c r="E130" i="6"/>
  <c r="D130" i="6"/>
  <c r="C130" i="6"/>
  <c r="B130" i="6"/>
  <c r="A130" i="6"/>
  <c r="E129" i="6"/>
  <c r="D129" i="6"/>
  <c r="C129" i="6"/>
  <c r="B129" i="6"/>
  <c r="A129" i="6"/>
  <c r="E128" i="6"/>
  <c r="D128" i="6"/>
  <c r="C128" i="6"/>
  <c r="B128" i="6"/>
  <c r="A128" i="6"/>
  <c r="E127" i="6"/>
  <c r="D127" i="6"/>
  <c r="C127" i="6"/>
  <c r="B127" i="6"/>
  <c r="A127" i="6"/>
  <c r="E126" i="6"/>
  <c r="D126" i="6"/>
  <c r="C126" i="6"/>
  <c r="B126" i="6"/>
  <c r="A126" i="6"/>
  <c r="E125" i="6"/>
  <c r="D125" i="6"/>
  <c r="C125" i="6"/>
  <c r="B125" i="6"/>
  <c r="A125" i="6"/>
  <c r="E124" i="6"/>
  <c r="D124" i="6"/>
  <c r="C124" i="6"/>
  <c r="B124" i="6"/>
  <c r="A124" i="6"/>
  <c r="E123" i="6"/>
  <c r="D123" i="6"/>
  <c r="C123" i="6"/>
  <c r="B123" i="6"/>
  <c r="A123" i="6"/>
  <c r="E122" i="6"/>
  <c r="D122" i="6"/>
  <c r="C122" i="6"/>
  <c r="B122" i="6"/>
  <c r="A122" i="6"/>
  <c r="E121" i="6"/>
  <c r="D121" i="6"/>
  <c r="C121" i="6"/>
  <c r="B121" i="6"/>
  <c r="A121" i="6"/>
  <c r="E120" i="6"/>
  <c r="D120" i="6"/>
  <c r="C120" i="6"/>
  <c r="B120" i="6"/>
  <c r="A120" i="6"/>
  <c r="E119" i="6"/>
  <c r="D119" i="6"/>
  <c r="C119" i="6"/>
  <c r="B119" i="6"/>
  <c r="A119" i="6"/>
  <c r="E118" i="6"/>
  <c r="D118" i="6"/>
  <c r="C118" i="6"/>
  <c r="B118" i="6"/>
  <c r="A118" i="6"/>
  <c r="E117" i="6"/>
  <c r="D117" i="6"/>
  <c r="C117" i="6"/>
  <c r="B117" i="6"/>
  <c r="A117" i="6"/>
  <c r="E116" i="6"/>
  <c r="D116" i="6"/>
  <c r="C116" i="6"/>
  <c r="B116" i="6"/>
  <c r="A116" i="6"/>
  <c r="E115" i="6"/>
  <c r="D115" i="6"/>
  <c r="C115" i="6"/>
  <c r="B115" i="6"/>
  <c r="A115" i="6"/>
  <c r="E114" i="6"/>
  <c r="D114" i="6"/>
  <c r="C114" i="6"/>
  <c r="B114" i="6"/>
  <c r="A114" i="6"/>
  <c r="E113" i="6"/>
  <c r="D113" i="6"/>
  <c r="C113" i="6"/>
  <c r="B113" i="6"/>
  <c r="A113" i="6"/>
  <c r="E112" i="6"/>
  <c r="D112" i="6"/>
  <c r="C112" i="6"/>
  <c r="B112" i="6"/>
  <c r="A112" i="6"/>
  <c r="E111" i="6"/>
  <c r="D111" i="6"/>
  <c r="C111" i="6"/>
  <c r="B111" i="6"/>
  <c r="A111" i="6"/>
  <c r="E110" i="6"/>
  <c r="D110" i="6"/>
  <c r="C110" i="6"/>
  <c r="B110" i="6"/>
  <c r="A110" i="6"/>
  <c r="E109" i="6"/>
  <c r="D109" i="6"/>
  <c r="C109" i="6"/>
  <c r="B109" i="6"/>
  <c r="A109" i="6"/>
  <c r="E108" i="6"/>
  <c r="D108" i="6"/>
  <c r="C108" i="6"/>
  <c r="B108" i="6"/>
  <c r="A108" i="6"/>
  <c r="E107" i="6"/>
  <c r="D107" i="6"/>
  <c r="C107" i="6"/>
  <c r="B107" i="6"/>
  <c r="A107" i="6"/>
  <c r="E106" i="6"/>
  <c r="D106" i="6"/>
  <c r="C106" i="6"/>
  <c r="B106" i="6"/>
  <c r="A106" i="6"/>
  <c r="E105" i="6"/>
  <c r="D105" i="6"/>
  <c r="C105" i="6"/>
  <c r="B105" i="6"/>
  <c r="A105" i="6"/>
  <c r="E104" i="6"/>
  <c r="D104" i="6"/>
  <c r="C104" i="6"/>
  <c r="B104" i="6"/>
  <c r="A104" i="6"/>
  <c r="E103" i="6"/>
  <c r="D103" i="6"/>
  <c r="C103" i="6"/>
  <c r="B103" i="6"/>
  <c r="A103" i="6"/>
  <c r="E102" i="6"/>
  <c r="D102" i="6"/>
  <c r="C102" i="6"/>
  <c r="B102" i="6"/>
  <c r="A102" i="6"/>
  <c r="E101" i="6"/>
  <c r="D101" i="6"/>
  <c r="C101" i="6"/>
  <c r="B101" i="6"/>
  <c r="A101" i="6"/>
  <c r="E100" i="6"/>
  <c r="D100" i="6"/>
  <c r="C100" i="6"/>
  <c r="B100" i="6"/>
  <c r="A100" i="6"/>
  <c r="E99" i="6"/>
  <c r="D99" i="6"/>
  <c r="C99" i="6"/>
  <c r="B99" i="6"/>
  <c r="A99" i="6"/>
  <c r="E98" i="6"/>
  <c r="D98" i="6"/>
  <c r="C98" i="6"/>
  <c r="B98" i="6"/>
  <c r="A98" i="6"/>
  <c r="E97" i="6"/>
  <c r="D97" i="6"/>
  <c r="C97" i="6"/>
  <c r="B97" i="6"/>
  <c r="A97" i="6"/>
  <c r="E96" i="6"/>
  <c r="D96" i="6"/>
  <c r="C96" i="6"/>
  <c r="B96" i="6"/>
  <c r="A96" i="6"/>
  <c r="E95" i="6"/>
  <c r="D95" i="6"/>
  <c r="C95" i="6"/>
  <c r="B95" i="6"/>
  <c r="A95" i="6"/>
  <c r="E94" i="6"/>
  <c r="D94" i="6"/>
  <c r="C94" i="6"/>
  <c r="B94" i="6"/>
  <c r="A94" i="6"/>
  <c r="E93" i="6"/>
  <c r="D93" i="6"/>
  <c r="C93" i="6"/>
  <c r="B93" i="6"/>
  <c r="A93" i="6"/>
  <c r="E92" i="6"/>
  <c r="D92" i="6"/>
  <c r="C92" i="6"/>
  <c r="B92" i="6"/>
  <c r="A92" i="6"/>
  <c r="E91" i="6"/>
  <c r="D91" i="6"/>
  <c r="C91" i="6"/>
  <c r="B91" i="6"/>
  <c r="A91" i="6"/>
  <c r="E90" i="6"/>
  <c r="D90" i="6"/>
  <c r="C90" i="6"/>
  <c r="B90" i="6"/>
  <c r="A90" i="6"/>
  <c r="E89" i="6"/>
  <c r="D89" i="6"/>
  <c r="C89" i="6"/>
  <c r="B89" i="6"/>
  <c r="A89" i="6"/>
  <c r="E88" i="6"/>
  <c r="D88" i="6"/>
  <c r="C88" i="6"/>
  <c r="B88" i="6"/>
  <c r="A88" i="6"/>
  <c r="E87" i="6"/>
  <c r="D87" i="6"/>
  <c r="C87" i="6"/>
  <c r="B87" i="6"/>
  <c r="A87" i="6"/>
  <c r="E86" i="6"/>
  <c r="D86" i="6"/>
  <c r="C86" i="6"/>
  <c r="B86" i="6"/>
  <c r="A86" i="6"/>
  <c r="E85" i="6"/>
  <c r="D85" i="6"/>
  <c r="C85" i="6"/>
  <c r="B85" i="6"/>
  <c r="A85" i="6"/>
  <c r="E84" i="6"/>
  <c r="D84" i="6"/>
  <c r="C84" i="6"/>
  <c r="B84" i="6"/>
  <c r="A84" i="6"/>
  <c r="E83" i="6"/>
  <c r="D83" i="6"/>
  <c r="C83" i="6"/>
  <c r="B83" i="6"/>
  <c r="A83" i="6"/>
  <c r="E82" i="6"/>
  <c r="D82" i="6"/>
  <c r="C82" i="6"/>
  <c r="B82" i="6"/>
  <c r="A82" i="6"/>
  <c r="E81" i="6"/>
  <c r="D81" i="6"/>
  <c r="C81" i="6"/>
  <c r="B81" i="6"/>
  <c r="A81" i="6"/>
  <c r="E80" i="6"/>
  <c r="D80" i="6"/>
  <c r="C80" i="6"/>
  <c r="B80" i="6"/>
  <c r="A80" i="6"/>
  <c r="E79" i="6"/>
  <c r="D79" i="6"/>
  <c r="C79" i="6"/>
  <c r="B79" i="6"/>
  <c r="A79" i="6"/>
  <c r="E78" i="6"/>
  <c r="D78" i="6"/>
  <c r="C78" i="6"/>
  <c r="B78" i="6"/>
  <c r="A78" i="6"/>
  <c r="E77" i="6"/>
  <c r="D77" i="6"/>
  <c r="C77" i="6"/>
  <c r="B77" i="6"/>
  <c r="A77" i="6"/>
  <c r="E76" i="6"/>
  <c r="D76" i="6"/>
  <c r="C76" i="6"/>
  <c r="B76" i="6"/>
  <c r="A76" i="6"/>
  <c r="E75" i="6"/>
  <c r="D75" i="6"/>
  <c r="C75" i="6"/>
  <c r="B75" i="6"/>
  <c r="A75" i="6"/>
  <c r="E74" i="6"/>
  <c r="D74" i="6"/>
  <c r="C74" i="6"/>
  <c r="B74" i="6"/>
  <c r="A74" i="6"/>
  <c r="E73" i="6"/>
  <c r="D73" i="6"/>
  <c r="C73" i="6"/>
  <c r="B73" i="6"/>
  <c r="A73" i="6"/>
  <c r="E72" i="6"/>
  <c r="D72" i="6"/>
  <c r="C72" i="6"/>
  <c r="B72" i="6"/>
  <c r="A72" i="6"/>
  <c r="E71" i="6"/>
  <c r="D71" i="6"/>
  <c r="C71" i="6"/>
  <c r="B71" i="6"/>
  <c r="A71" i="6"/>
  <c r="E70" i="6"/>
  <c r="D70" i="6"/>
  <c r="C70" i="6"/>
  <c r="B70" i="6"/>
  <c r="A70" i="6"/>
  <c r="E69" i="6"/>
  <c r="D69" i="6"/>
  <c r="C69" i="6"/>
  <c r="B69" i="6"/>
  <c r="A69" i="6"/>
  <c r="E68" i="6"/>
  <c r="D68" i="6"/>
  <c r="C68" i="6"/>
  <c r="B68" i="6"/>
  <c r="A68" i="6"/>
  <c r="E67" i="6"/>
  <c r="D67" i="6"/>
  <c r="C67" i="6"/>
  <c r="B67" i="6"/>
  <c r="A67" i="6"/>
  <c r="E66" i="6"/>
  <c r="D66" i="6"/>
  <c r="C66" i="6"/>
  <c r="B66" i="6"/>
  <c r="A66" i="6"/>
  <c r="E65" i="6"/>
  <c r="D65" i="6"/>
  <c r="C65" i="6"/>
  <c r="B65" i="6"/>
  <c r="A65" i="6"/>
  <c r="E64" i="6"/>
  <c r="D64" i="6"/>
  <c r="C64" i="6"/>
  <c r="B64" i="6"/>
  <c r="A64" i="6"/>
  <c r="E63" i="6"/>
  <c r="D63" i="6"/>
  <c r="C63" i="6"/>
  <c r="B63" i="6"/>
  <c r="A63" i="6"/>
  <c r="E62" i="6"/>
  <c r="D62" i="6"/>
  <c r="C62" i="6"/>
  <c r="B62" i="6"/>
  <c r="A62" i="6"/>
  <c r="E61" i="6"/>
  <c r="D61" i="6"/>
  <c r="C61" i="6"/>
  <c r="B61" i="6"/>
  <c r="A61" i="6"/>
  <c r="E60" i="6"/>
  <c r="D60" i="6"/>
  <c r="C60" i="6"/>
  <c r="B60" i="6"/>
  <c r="A60" i="6"/>
  <c r="E59" i="6"/>
  <c r="D59" i="6"/>
  <c r="C59" i="6"/>
  <c r="B59" i="6"/>
  <c r="A59" i="6"/>
  <c r="E58" i="6"/>
  <c r="D58" i="6"/>
  <c r="C58" i="6"/>
  <c r="B58" i="6"/>
  <c r="A58" i="6"/>
  <c r="E57" i="6"/>
  <c r="D57" i="6"/>
  <c r="C57" i="6"/>
  <c r="B57" i="6"/>
  <c r="A57" i="6"/>
  <c r="E56" i="6"/>
  <c r="D56" i="6"/>
  <c r="C56" i="6"/>
  <c r="B56" i="6"/>
  <c r="A56" i="6"/>
  <c r="E55" i="6"/>
  <c r="D55" i="6"/>
  <c r="C55" i="6"/>
  <c r="B55" i="6"/>
  <c r="A55" i="6"/>
  <c r="E54" i="6"/>
  <c r="D54" i="6"/>
  <c r="C54" i="6"/>
  <c r="B54" i="6"/>
  <c r="A54" i="6"/>
  <c r="E53" i="6"/>
  <c r="D53" i="6"/>
  <c r="C53" i="6"/>
  <c r="B53" i="6"/>
  <c r="A53" i="6"/>
  <c r="E52" i="6"/>
  <c r="D52" i="6"/>
  <c r="C52" i="6"/>
  <c r="B52" i="6"/>
  <c r="A52" i="6"/>
  <c r="E51" i="6"/>
  <c r="D51" i="6"/>
  <c r="C51" i="6"/>
  <c r="B51" i="6"/>
  <c r="A51" i="6"/>
  <c r="E50" i="6"/>
  <c r="D50" i="6"/>
  <c r="C50" i="6"/>
  <c r="B50" i="6"/>
  <c r="A50" i="6"/>
  <c r="E49" i="6"/>
  <c r="D49" i="6"/>
  <c r="C49" i="6"/>
  <c r="B49" i="6"/>
  <c r="A49" i="6"/>
  <c r="E48" i="6"/>
  <c r="D48" i="6"/>
  <c r="C48" i="6"/>
  <c r="B48" i="6"/>
  <c r="A48" i="6"/>
  <c r="E47" i="6"/>
  <c r="D47" i="6"/>
  <c r="C47" i="6"/>
  <c r="B47" i="6"/>
  <c r="A47" i="6"/>
  <c r="E46" i="6"/>
  <c r="D46" i="6"/>
  <c r="C46" i="6"/>
  <c r="B46" i="6"/>
  <c r="A46" i="6"/>
  <c r="E45" i="6"/>
  <c r="D45" i="6"/>
  <c r="C45" i="6"/>
  <c r="B45" i="6"/>
  <c r="A45" i="6"/>
  <c r="E44" i="6"/>
  <c r="D44" i="6"/>
  <c r="C44" i="6"/>
  <c r="B44" i="6"/>
  <c r="A44" i="6"/>
  <c r="E43" i="6"/>
  <c r="D43" i="6"/>
  <c r="C43" i="6"/>
  <c r="B43" i="6"/>
  <c r="A43" i="6"/>
  <c r="E42" i="6"/>
  <c r="D42" i="6"/>
  <c r="C42" i="6"/>
  <c r="B42" i="6"/>
  <c r="A42" i="6"/>
  <c r="E41" i="6"/>
  <c r="D41" i="6"/>
  <c r="C41" i="6"/>
  <c r="B41" i="6"/>
  <c r="A41" i="6"/>
  <c r="E40" i="6"/>
  <c r="D40" i="6"/>
  <c r="C40" i="6"/>
  <c r="B40" i="6"/>
  <c r="A40" i="6"/>
  <c r="E39" i="6"/>
  <c r="D39" i="6"/>
  <c r="C39" i="6"/>
  <c r="B39" i="6"/>
  <c r="A39" i="6"/>
  <c r="E38" i="6"/>
  <c r="D38" i="6"/>
  <c r="C38" i="6"/>
  <c r="B38" i="6"/>
  <c r="A38" i="6"/>
  <c r="E37" i="6"/>
  <c r="D37" i="6"/>
  <c r="C37" i="6"/>
  <c r="B37" i="6"/>
  <c r="A37" i="6"/>
  <c r="E36" i="6"/>
  <c r="D36" i="6"/>
  <c r="C36" i="6"/>
  <c r="B36" i="6"/>
  <c r="A36" i="6"/>
  <c r="E35" i="6"/>
  <c r="D35" i="6"/>
  <c r="C35" i="6"/>
  <c r="B35" i="6"/>
  <c r="A35" i="6"/>
  <c r="E34" i="6"/>
  <c r="D34" i="6"/>
  <c r="C34" i="6"/>
  <c r="B34" i="6"/>
  <c r="A34" i="6"/>
  <c r="E33" i="6"/>
  <c r="D33" i="6"/>
  <c r="C33" i="6"/>
  <c r="B33" i="6"/>
  <c r="A33" i="6"/>
  <c r="E32" i="6"/>
  <c r="D32" i="6"/>
  <c r="C32" i="6"/>
  <c r="B32" i="6"/>
  <c r="A32" i="6"/>
  <c r="E31" i="6"/>
  <c r="D31" i="6"/>
  <c r="C31" i="6"/>
  <c r="B31" i="6"/>
  <c r="A31" i="6"/>
  <c r="E30" i="6"/>
  <c r="D30" i="6"/>
  <c r="C30" i="6"/>
  <c r="B30" i="6"/>
  <c r="A30" i="6"/>
  <c r="E29" i="6"/>
  <c r="D29" i="6"/>
  <c r="C29" i="6"/>
  <c r="B29" i="6"/>
  <c r="A29" i="6"/>
  <c r="E28" i="6"/>
  <c r="D28" i="6"/>
  <c r="C28" i="6"/>
  <c r="B28" i="6"/>
  <c r="A28" i="6"/>
  <c r="E27" i="6"/>
  <c r="D27" i="6"/>
  <c r="C27" i="6"/>
  <c r="B27" i="6"/>
  <c r="A27" i="6"/>
  <c r="E26" i="6"/>
  <c r="D26" i="6"/>
  <c r="C26" i="6"/>
  <c r="B26" i="6"/>
  <c r="A26" i="6"/>
  <c r="E25" i="6"/>
  <c r="D25" i="6"/>
  <c r="C25" i="6"/>
  <c r="B25" i="6"/>
  <c r="A25" i="6"/>
  <c r="E24" i="6"/>
  <c r="D24" i="6"/>
  <c r="C24" i="6"/>
  <c r="B24" i="6"/>
  <c r="A24" i="6"/>
  <c r="E23" i="6"/>
  <c r="D23" i="6"/>
  <c r="C23" i="6"/>
  <c r="B23" i="6"/>
  <c r="A23" i="6"/>
  <c r="E22" i="6"/>
  <c r="D22" i="6"/>
  <c r="C22" i="6"/>
  <c r="B22" i="6"/>
  <c r="A22" i="6"/>
  <c r="E21" i="6"/>
  <c r="D21" i="6"/>
  <c r="C21" i="6"/>
  <c r="B21" i="6"/>
  <c r="A21" i="6"/>
  <c r="E20" i="6"/>
  <c r="D20" i="6"/>
  <c r="C20" i="6"/>
  <c r="B20" i="6"/>
  <c r="A20" i="6"/>
  <c r="E19" i="6"/>
  <c r="D19" i="6"/>
  <c r="C19" i="6"/>
  <c r="B19" i="6"/>
  <c r="A19" i="6"/>
  <c r="E18" i="6"/>
  <c r="D18" i="6"/>
  <c r="C18" i="6"/>
  <c r="B18" i="6"/>
  <c r="A18" i="6"/>
  <c r="E17" i="6"/>
  <c r="D17" i="6"/>
  <c r="C17" i="6"/>
  <c r="B17" i="6"/>
  <c r="A17" i="6"/>
  <c r="E16" i="6"/>
  <c r="D16" i="6"/>
  <c r="C16" i="6"/>
  <c r="B16" i="6"/>
  <c r="A16" i="6"/>
  <c r="E15" i="6"/>
  <c r="D15" i="6"/>
  <c r="C15" i="6"/>
  <c r="B15" i="6"/>
  <c r="A15" i="6"/>
  <c r="E14" i="6"/>
  <c r="D14" i="6"/>
  <c r="C14" i="6"/>
  <c r="B14" i="6"/>
  <c r="A14" i="6"/>
  <c r="E13" i="6"/>
  <c r="D13" i="6"/>
  <c r="C13" i="6"/>
  <c r="B13" i="6"/>
  <c r="A13" i="6"/>
  <c r="E12" i="6"/>
  <c r="D12" i="6"/>
  <c r="C12" i="6"/>
  <c r="B12" i="6"/>
  <c r="A12" i="6"/>
  <c r="E11" i="6"/>
  <c r="D11" i="6"/>
  <c r="C11" i="6"/>
  <c r="B11" i="6"/>
  <c r="A11" i="6"/>
  <c r="E10" i="6"/>
  <c r="D10" i="6"/>
  <c r="C10" i="6"/>
  <c r="B10" i="6"/>
  <c r="A10" i="6"/>
  <c r="E9" i="6"/>
  <c r="D9" i="6"/>
  <c r="C9" i="6"/>
  <c r="B9" i="6"/>
  <c r="A9" i="6"/>
  <c r="E8" i="6"/>
  <c r="D8" i="6"/>
  <c r="C8" i="6"/>
  <c r="B8" i="6"/>
  <c r="A8" i="6"/>
  <c r="E7" i="6"/>
  <c r="D7" i="6"/>
  <c r="C7" i="6"/>
  <c r="B7" i="6"/>
  <c r="A7" i="6"/>
  <c r="E6" i="6"/>
  <c r="D6" i="6"/>
  <c r="C6" i="6"/>
  <c r="B6" i="6"/>
  <c r="A6" i="6"/>
  <c r="E5" i="6"/>
  <c r="D5" i="6"/>
  <c r="C5" i="6"/>
  <c r="B5" i="6"/>
  <c r="A5" i="6"/>
  <c r="C51" i="5"/>
  <c r="B51" i="5"/>
  <c r="D51" i="5" s="1"/>
  <c r="E51" i="5" s="1"/>
  <c r="F51" i="5" s="1"/>
  <c r="B50" i="5"/>
  <c r="B48" i="5"/>
  <c r="D45" i="5"/>
  <c r="E45" i="5" s="1"/>
  <c r="F45" i="5" s="1"/>
  <c r="K40" i="5"/>
  <c r="J40" i="5"/>
  <c r="I40" i="5"/>
  <c r="H40" i="5"/>
  <c r="G40" i="5"/>
  <c r="C40" i="5"/>
  <c r="J39" i="5"/>
  <c r="I39" i="5"/>
  <c r="H39" i="5"/>
  <c r="G39" i="5"/>
  <c r="F39" i="5"/>
  <c r="E39" i="5"/>
  <c r="D39" i="5"/>
  <c r="C39" i="5"/>
  <c r="B39" i="5"/>
  <c r="I38" i="5"/>
  <c r="E38" i="5"/>
  <c r="D38" i="5"/>
  <c r="C38" i="5"/>
  <c r="B38" i="5"/>
  <c r="A38" i="5"/>
  <c r="K37" i="5"/>
  <c r="C44" i="5" s="1"/>
  <c r="D44" i="5" s="1"/>
  <c r="E44" i="5" s="1"/>
  <c r="F44" i="5" s="1"/>
  <c r="J37" i="5"/>
  <c r="C45" i="5" s="1"/>
  <c r="I37" i="5"/>
  <c r="C46" i="5" s="1"/>
  <c r="H37" i="5"/>
  <c r="C47" i="5" s="1"/>
  <c r="D37" i="5"/>
  <c r="K36" i="5"/>
  <c r="B44" i="5" s="1"/>
  <c r="J36" i="5"/>
  <c r="B45" i="5" s="1"/>
  <c r="I36" i="5"/>
  <c r="B46" i="5" s="1"/>
  <c r="D46" i="5" s="1"/>
  <c r="E46" i="5" s="1"/>
  <c r="F46" i="5" s="1"/>
  <c r="H36" i="5"/>
  <c r="B47" i="5" s="1"/>
  <c r="G36" i="5"/>
  <c r="F36" i="5"/>
  <c r="B49" i="5" s="1"/>
  <c r="E36" i="5"/>
  <c r="D36" i="5"/>
  <c r="C36" i="5"/>
  <c r="B52" i="5" s="1"/>
  <c r="A36" i="5" a="1"/>
  <c r="F40" i="5" s="1"/>
  <c r="C19" i="5"/>
  <c r="D10" i="5"/>
  <c r="C10" i="5"/>
  <c r="K9" i="5"/>
  <c r="I9" i="5"/>
  <c r="G9" i="5"/>
  <c r="C9" i="5"/>
  <c r="B9" i="5"/>
  <c r="E8" i="5"/>
  <c r="I7" i="5"/>
  <c r="C17" i="5" s="1"/>
  <c r="H7" i="5"/>
  <c r="C18" i="5" s="1"/>
  <c r="G7" i="5"/>
  <c r="F7" i="5"/>
  <c r="C20" i="5" s="1"/>
  <c r="E7" i="5"/>
  <c r="C21" i="5" s="1"/>
  <c r="D6" i="5"/>
  <c r="B22" i="5" s="1"/>
  <c r="A6" i="5" a="1"/>
  <c r="A6" i="5"/>
  <c r="B25" i="5" s="1"/>
  <c r="B55" i="4"/>
  <c r="B47" i="4"/>
  <c r="A47" i="4"/>
  <c r="B46" i="4"/>
  <c r="A46" i="4"/>
  <c r="B45" i="4"/>
  <c r="A45" i="4"/>
  <c r="B52" i="4" s="1"/>
  <c r="D7" i="7" s="1"/>
  <c r="B44" i="4"/>
  <c r="A44" i="4"/>
  <c r="B53" i="4" s="1"/>
  <c r="B43" i="4"/>
  <c r="B51" i="4" s="1"/>
  <c r="A43" i="4" a="1"/>
  <c r="A43" i="4"/>
  <c r="B50" i="4" s="1"/>
  <c r="B34" i="4"/>
  <c r="B25" i="4"/>
  <c r="A25" i="4"/>
  <c r="A24" i="4" a="1"/>
  <c r="B9" i="4"/>
  <c r="A5" i="4" a="1"/>
  <c r="A5" i="4"/>
  <c r="D22" i="5" l="1"/>
  <c r="E22" i="5" s="1"/>
  <c r="F22" i="5" s="1"/>
  <c r="B12" i="4"/>
  <c r="F74" i="6"/>
  <c r="G74" i="6" s="1"/>
  <c r="H74" i="6" s="1"/>
  <c r="G203" i="6"/>
  <c r="H203" i="6" s="1"/>
  <c r="F265" i="6"/>
  <c r="G265" i="6" s="1"/>
  <c r="H265" i="6" s="1"/>
  <c r="F248" i="6"/>
  <c r="G248" i="6" s="1"/>
  <c r="H248" i="6" s="1"/>
  <c r="F237" i="6"/>
  <c r="G237" i="6" s="1"/>
  <c r="H237" i="6" s="1"/>
  <c r="F220" i="6"/>
  <c r="G220" i="6" s="1"/>
  <c r="H220" i="6" s="1"/>
  <c r="F305" i="6"/>
  <c r="G305" i="6" s="1"/>
  <c r="H305" i="6" s="1"/>
  <c r="F288" i="6"/>
  <c r="G288" i="6" s="1"/>
  <c r="H288" i="6" s="1"/>
  <c r="F160" i="6"/>
  <c r="G160" i="6" s="1"/>
  <c r="H160" i="6" s="1"/>
  <c r="F158" i="6"/>
  <c r="G158" i="6" s="1"/>
  <c r="H158" i="6" s="1"/>
  <c r="F128" i="6"/>
  <c r="G128" i="6" s="1"/>
  <c r="H128" i="6" s="1"/>
  <c r="F126" i="6"/>
  <c r="G126" i="6" s="1"/>
  <c r="H126" i="6" s="1"/>
  <c r="F102" i="6"/>
  <c r="G102" i="6" s="1"/>
  <c r="H102" i="6" s="1"/>
  <c r="F311" i="6"/>
  <c r="G311" i="6" s="1"/>
  <c r="H311" i="6" s="1"/>
  <c r="F294" i="6"/>
  <c r="G294" i="6" s="1"/>
  <c r="H294" i="6" s="1"/>
  <c r="F274" i="6"/>
  <c r="G274" i="6" s="1"/>
  <c r="H274" i="6" s="1"/>
  <c r="F227" i="6"/>
  <c r="G227" i="6" s="1"/>
  <c r="H227" i="6" s="1"/>
  <c r="F210" i="6"/>
  <c r="G210" i="6" s="1"/>
  <c r="H210" i="6" s="1"/>
  <c r="F68" i="6"/>
  <c r="G68" i="6" s="1"/>
  <c r="H68" i="6" s="1"/>
  <c r="F270" i="6"/>
  <c r="G270" i="6" s="1"/>
  <c r="H270" i="6" s="1"/>
  <c r="F225" i="6"/>
  <c r="G225" i="6" s="1"/>
  <c r="H225" i="6" s="1"/>
  <c r="F203" i="6"/>
  <c r="F125" i="6"/>
  <c r="G125" i="6" s="1"/>
  <c r="H125" i="6" s="1"/>
  <c r="F109" i="6"/>
  <c r="G109" i="6" s="1"/>
  <c r="H109" i="6" s="1"/>
  <c r="F76" i="6"/>
  <c r="G76" i="6" s="1"/>
  <c r="H76" i="6" s="1"/>
  <c r="F310" i="6"/>
  <c r="G310" i="6" s="1"/>
  <c r="H310" i="6" s="1"/>
  <c r="F295" i="6"/>
  <c r="G295" i="6" s="1"/>
  <c r="H295" i="6" s="1"/>
  <c r="F251" i="6"/>
  <c r="G251" i="6" s="1"/>
  <c r="H251" i="6" s="1"/>
  <c r="F161" i="6"/>
  <c r="G161" i="6" s="1"/>
  <c r="H161" i="6" s="1"/>
  <c r="F145" i="6"/>
  <c r="G145" i="6" s="1"/>
  <c r="H145" i="6" s="1"/>
  <c r="F36" i="6"/>
  <c r="G36" i="6" s="1"/>
  <c r="H36" i="6" s="1"/>
  <c r="F30" i="6"/>
  <c r="G30" i="6" s="1"/>
  <c r="H30" i="6" s="1"/>
  <c r="F28" i="6"/>
  <c r="G28" i="6" s="1"/>
  <c r="H28" i="6" s="1"/>
  <c r="F224" i="6"/>
  <c r="F168" i="6"/>
  <c r="G168" i="6" s="1"/>
  <c r="H168" i="6" s="1"/>
  <c r="F82" i="6"/>
  <c r="G82" i="6" s="1"/>
  <c r="H82" i="6" s="1"/>
  <c r="F153" i="6"/>
  <c r="G153" i="6" s="1"/>
  <c r="H153" i="6" s="1"/>
  <c r="F105" i="6"/>
  <c r="G105" i="6" s="1"/>
  <c r="H105" i="6" s="1"/>
  <c r="F92" i="6"/>
  <c r="G92" i="6" s="1"/>
  <c r="H92" i="6" s="1"/>
  <c r="F91" i="6"/>
  <c r="G91" i="6" s="1"/>
  <c r="H91" i="6" s="1"/>
  <c r="F199" i="6"/>
  <c r="G199" i="6" s="1"/>
  <c r="H199" i="6" s="1"/>
  <c r="F84" i="6"/>
  <c r="G84" i="6" s="1"/>
  <c r="H84" i="6" s="1"/>
  <c r="F163" i="6"/>
  <c r="G163" i="6" s="1"/>
  <c r="H163" i="6" s="1"/>
  <c r="F115" i="6"/>
  <c r="G115" i="6" s="1"/>
  <c r="H115" i="6" s="1"/>
  <c r="F99" i="6"/>
  <c r="G99" i="6" s="1"/>
  <c r="H99" i="6" s="1"/>
  <c r="F81" i="6"/>
  <c r="G81" i="6" s="1"/>
  <c r="H81" i="6" s="1"/>
  <c r="F283" i="6"/>
  <c r="G283" i="6" s="1"/>
  <c r="H283" i="6" s="1"/>
  <c r="F255" i="6"/>
  <c r="G255" i="6" s="1"/>
  <c r="H255" i="6" s="1"/>
  <c r="F206" i="6"/>
  <c r="G206" i="6" s="1"/>
  <c r="H206" i="6" s="1"/>
  <c r="F266" i="6"/>
  <c r="G266" i="6" s="1"/>
  <c r="H266" i="6" s="1"/>
  <c r="F236" i="6"/>
  <c r="G236" i="6" s="1"/>
  <c r="H236" i="6" s="1"/>
  <c r="D47" i="5"/>
  <c r="E47" i="5" s="1"/>
  <c r="F47" i="5" s="1"/>
  <c r="F69" i="6"/>
  <c r="G69" i="6" s="1"/>
  <c r="H69" i="6" s="1"/>
  <c r="F219" i="6"/>
  <c r="G219" i="6" s="1"/>
  <c r="H219" i="6" s="1"/>
  <c r="D25" i="5"/>
  <c r="E25" i="5" s="1"/>
  <c r="F25" i="5" s="1"/>
  <c r="B16" i="4"/>
  <c r="B56" i="4"/>
  <c r="F7" i="7" s="1"/>
  <c r="B54" i="4"/>
  <c r="B58" i="4"/>
  <c r="F29" i="6"/>
  <c r="G29" i="6" s="1"/>
  <c r="H29" i="6" s="1"/>
  <c r="J9" i="5"/>
  <c r="F8" i="5"/>
  <c r="B7" i="5"/>
  <c r="C24" i="5" s="1"/>
  <c r="L10" i="5"/>
  <c r="H9" i="5"/>
  <c r="D8" i="5"/>
  <c r="L6" i="5"/>
  <c r="B14" i="5" s="1"/>
  <c r="J10" i="5"/>
  <c r="F9" i="5"/>
  <c r="B8" i="5"/>
  <c r="J6" i="5"/>
  <c r="B16" i="5" s="1"/>
  <c r="D16" i="5" s="1"/>
  <c r="E16" i="5" s="1"/>
  <c r="F16" i="5" s="1"/>
  <c r="I10" i="5"/>
  <c r="E9" i="5"/>
  <c r="A8" i="5"/>
  <c r="I6" i="5"/>
  <c r="B17" i="5" s="1"/>
  <c r="D17" i="5" s="1"/>
  <c r="E17" i="5" s="1"/>
  <c r="F17" i="5" s="1"/>
  <c r="H10" i="5"/>
  <c r="D9" i="5"/>
  <c r="L7" i="5"/>
  <c r="C14" i="5" s="1"/>
  <c r="H6" i="5"/>
  <c r="B18" i="5" s="1"/>
  <c r="D18" i="5" s="1"/>
  <c r="E18" i="5" s="1"/>
  <c r="F18" i="5" s="1"/>
  <c r="J7" i="5"/>
  <c r="C16" i="5" s="1"/>
  <c r="L9" i="5"/>
  <c r="B6" i="5"/>
  <c r="B24" i="5" s="1"/>
  <c r="D24" i="5" s="1"/>
  <c r="E24" i="5" s="1"/>
  <c r="F24" i="5" s="1"/>
  <c r="K7" i="5"/>
  <c r="C15" i="5" s="1"/>
  <c r="A10" i="5"/>
  <c r="B24" i="4"/>
  <c r="A24" i="4"/>
  <c r="C6" i="5"/>
  <c r="B23" i="5" s="1"/>
  <c r="C8" i="5"/>
  <c r="B10" i="5"/>
  <c r="A7" i="4"/>
  <c r="B14" i="4" s="1"/>
  <c r="D5" i="7" s="1"/>
  <c r="A6" i="4"/>
  <c r="B15" i="4" s="1"/>
  <c r="B5" i="4"/>
  <c r="A26" i="4"/>
  <c r="B33" i="4" s="1"/>
  <c r="D6" i="7" s="1"/>
  <c r="F6" i="5"/>
  <c r="B20" i="5" s="1"/>
  <c r="D20" i="5" s="1"/>
  <c r="E20" i="5" s="1"/>
  <c r="F20" i="5" s="1"/>
  <c r="H8" i="5"/>
  <c r="E10" i="5"/>
  <c r="E6" i="5"/>
  <c r="B21" i="5" s="1"/>
  <c r="D21" i="5" s="1"/>
  <c r="E21" i="5" s="1"/>
  <c r="F21" i="5" s="1"/>
  <c r="B57" i="5"/>
  <c r="E9" i="7" s="1"/>
  <c r="B56" i="5"/>
  <c r="D9" i="7" s="1"/>
  <c r="B6" i="4"/>
  <c r="G6" i="5"/>
  <c r="B19" i="5" s="1"/>
  <c r="D19" i="5" s="1"/>
  <c r="E19" i="5" s="1"/>
  <c r="F19" i="5" s="1"/>
  <c r="D52" i="5"/>
  <c r="E52" i="5" s="1"/>
  <c r="F52" i="5" s="1"/>
  <c r="B7" i="4"/>
  <c r="K6" i="5"/>
  <c r="B15" i="5" s="1"/>
  <c r="D15" i="5" s="1"/>
  <c r="E15" i="5" s="1"/>
  <c r="F15" i="5" s="1"/>
  <c r="J8" i="5"/>
  <c r="G10" i="5"/>
  <c r="G8" i="5"/>
  <c r="B26" i="4"/>
  <c r="I8" i="5"/>
  <c r="F10" i="5"/>
  <c r="A27" i="4"/>
  <c r="A8" i="4"/>
  <c r="B27" i="4"/>
  <c r="B36" i="4" s="1"/>
  <c r="A7" i="5"/>
  <c r="C25" i="5" s="1"/>
  <c r="K8" i="5"/>
  <c r="K10" i="5"/>
  <c r="B8" i="4"/>
  <c r="B17" i="4" s="1"/>
  <c r="A28" i="4"/>
  <c r="C7" i="5"/>
  <c r="C23" i="5" s="1"/>
  <c r="L8" i="5"/>
  <c r="D49" i="5"/>
  <c r="E49" i="5" s="1"/>
  <c r="F49" i="5" s="1"/>
  <c r="A9" i="4"/>
  <c r="B28" i="4"/>
  <c r="D7" i="5"/>
  <c r="C22" i="5" s="1"/>
  <c r="A9" i="5"/>
  <c r="B29" i="5" s="1"/>
  <c r="G224" i="6"/>
  <c r="H224" i="6" s="1"/>
  <c r="A37" i="5"/>
  <c r="C54" i="5" s="1"/>
  <c r="F38" i="5"/>
  <c r="K39" i="5"/>
  <c r="B37" i="5"/>
  <c r="C53" i="5" s="1"/>
  <c r="G38" i="5"/>
  <c r="A40" i="5"/>
  <c r="C37" i="5"/>
  <c r="C52" i="5" s="1"/>
  <c r="H38" i="5"/>
  <c r="B40" i="5"/>
  <c r="A36" i="5"/>
  <c r="B54" i="5" s="1"/>
  <c r="D54" i="5" s="1"/>
  <c r="E54" i="5" s="1"/>
  <c r="F54" i="5" s="1"/>
  <c r="E37" i="5"/>
  <c r="C50" i="5" s="1"/>
  <c r="D50" i="5" s="1"/>
  <c r="E50" i="5" s="1"/>
  <c r="F50" i="5" s="1"/>
  <c r="J38" i="5"/>
  <c r="D40" i="5"/>
  <c r="F37" i="5"/>
  <c r="C49" i="5" s="1"/>
  <c r="K38" i="5"/>
  <c r="E40" i="5"/>
  <c r="B36" i="5"/>
  <c r="B53" i="5" s="1"/>
  <c r="D53" i="5" s="1"/>
  <c r="E53" i="5" s="1"/>
  <c r="F53" i="5" s="1"/>
  <c r="G37" i="5"/>
  <c r="C48" i="5" s="1"/>
  <c r="D48" i="5" s="1"/>
  <c r="E48" i="5" s="1"/>
  <c r="F48" i="5" s="1"/>
  <c r="A39" i="5"/>
  <c r="B58" i="5" s="1"/>
  <c r="D23" i="5" l="1"/>
  <c r="E23" i="5" s="1"/>
  <c r="F23" i="5" s="1"/>
  <c r="F103" i="6"/>
  <c r="G103" i="6" s="1"/>
  <c r="H103" i="6" s="1"/>
  <c r="F192" i="6"/>
  <c r="G192" i="6" s="1"/>
  <c r="H192" i="6" s="1"/>
  <c r="F189" i="6"/>
  <c r="G189" i="6" s="1"/>
  <c r="H189" i="6" s="1"/>
  <c r="F25" i="6"/>
  <c r="G25" i="6" s="1"/>
  <c r="H25" i="6" s="1"/>
  <c r="F289" i="6"/>
  <c r="G289" i="6" s="1"/>
  <c r="H289" i="6" s="1"/>
  <c r="F131" i="6"/>
  <c r="G131" i="6" s="1"/>
  <c r="H131" i="6" s="1"/>
  <c r="F296" i="6"/>
  <c r="G296" i="6" s="1"/>
  <c r="H296" i="6" s="1"/>
  <c r="F121" i="6"/>
  <c r="G121" i="6" s="1"/>
  <c r="H121" i="6" s="1"/>
  <c r="F180" i="6"/>
  <c r="G180" i="6" s="1"/>
  <c r="H180" i="6" s="1"/>
  <c r="F32" i="6"/>
  <c r="G32" i="6" s="1"/>
  <c r="H32" i="6" s="1"/>
  <c r="F229" i="6"/>
  <c r="G229" i="6" s="1"/>
  <c r="H229" i="6" s="1"/>
  <c r="F6" i="6"/>
  <c r="G6" i="6" s="1"/>
  <c r="H6" i="6" s="1"/>
  <c r="F141" i="6"/>
  <c r="G141" i="6" s="1"/>
  <c r="H141" i="6" s="1"/>
  <c r="F293" i="6"/>
  <c r="G293" i="6" s="1"/>
  <c r="H293" i="6" s="1"/>
  <c r="F242" i="6"/>
  <c r="G242" i="6" s="1"/>
  <c r="H242" i="6" s="1"/>
  <c r="F98" i="6"/>
  <c r="G98" i="6" s="1"/>
  <c r="H98" i="6" s="1"/>
  <c r="F130" i="6"/>
  <c r="G130" i="6" s="1"/>
  <c r="H130" i="6" s="1"/>
  <c r="F162" i="6"/>
  <c r="G162" i="6" s="1"/>
  <c r="H162" i="6" s="1"/>
  <c r="F320" i="6"/>
  <c r="G320" i="6" s="1"/>
  <c r="H320" i="6" s="1"/>
  <c r="F252" i="6"/>
  <c r="G252" i="6" s="1"/>
  <c r="H252" i="6" s="1"/>
  <c r="F280" i="6"/>
  <c r="G280" i="6" s="1"/>
  <c r="H280" i="6" s="1"/>
  <c r="B18" i="4"/>
  <c r="F5" i="7" s="1"/>
  <c r="B35" i="4"/>
  <c r="B37" i="4"/>
  <c r="F6" i="7" s="1"/>
  <c r="B31" i="4"/>
  <c r="F64" i="6"/>
  <c r="G64" i="6" s="1"/>
  <c r="H64" i="6" s="1"/>
  <c r="F135" i="6"/>
  <c r="G135" i="6" s="1"/>
  <c r="H135" i="6" s="1"/>
  <c r="F83" i="6"/>
  <c r="G83" i="6" s="1"/>
  <c r="H83" i="6" s="1"/>
  <c r="F33" i="6"/>
  <c r="G33" i="6" s="1"/>
  <c r="H33" i="6" s="1"/>
  <c r="F147" i="6"/>
  <c r="G147" i="6" s="1"/>
  <c r="H147" i="6" s="1"/>
  <c r="F302" i="6"/>
  <c r="G302" i="6" s="1"/>
  <c r="H302" i="6" s="1"/>
  <c r="F137" i="6"/>
  <c r="G137" i="6" s="1"/>
  <c r="H137" i="6" s="1"/>
  <c r="F185" i="6"/>
  <c r="G185" i="6" s="1"/>
  <c r="H185" i="6" s="1"/>
  <c r="F34" i="6"/>
  <c r="G34" i="6" s="1"/>
  <c r="H34" i="6" s="1"/>
  <c r="F246" i="6"/>
  <c r="G246" i="6" s="1"/>
  <c r="H246" i="6" s="1"/>
  <c r="F61" i="6"/>
  <c r="G61" i="6" s="1"/>
  <c r="H61" i="6" s="1"/>
  <c r="F157" i="6"/>
  <c r="G157" i="6" s="1"/>
  <c r="H157" i="6" s="1"/>
  <c r="F53" i="6"/>
  <c r="G53" i="6" s="1"/>
  <c r="H53" i="6" s="1"/>
  <c r="F259" i="6"/>
  <c r="G259" i="6" s="1"/>
  <c r="H259" i="6" s="1"/>
  <c r="F100" i="6"/>
  <c r="G100" i="6" s="1"/>
  <c r="H100" i="6" s="1"/>
  <c r="F132" i="6"/>
  <c r="G132" i="6" s="1"/>
  <c r="H132" i="6" s="1"/>
  <c r="F164" i="6"/>
  <c r="G164" i="6" s="1"/>
  <c r="H164" i="6" s="1"/>
  <c r="F175" i="6"/>
  <c r="G175" i="6" s="1"/>
  <c r="H175" i="6" s="1"/>
  <c r="F269" i="6"/>
  <c r="G269" i="6" s="1"/>
  <c r="H269" i="6" s="1"/>
  <c r="F297" i="6"/>
  <c r="G297" i="6" s="1"/>
  <c r="H297" i="6" s="1"/>
  <c r="F167" i="6"/>
  <c r="G167" i="6" s="1"/>
  <c r="H167" i="6" s="1"/>
  <c r="F263" i="6"/>
  <c r="G263" i="6" s="1"/>
  <c r="H263" i="6" s="1"/>
  <c r="F190" i="6"/>
  <c r="G190" i="6" s="1"/>
  <c r="H190" i="6" s="1"/>
  <c r="F193" i="6"/>
  <c r="G193" i="6" s="1"/>
  <c r="H193" i="6" s="1"/>
  <c r="F93" i="6"/>
  <c r="G93" i="6" s="1"/>
  <c r="H93" i="6" s="1"/>
  <c r="F136" i="6"/>
  <c r="G136" i="6" s="1"/>
  <c r="H136" i="6" s="1"/>
  <c r="B20" i="4"/>
  <c r="B13" i="4"/>
  <c r="F5" i="6"/>
  <c r="G5" i="6" s="1"/>
  <c r="F17" i="6"/>
  <c r="G17" i="6" s="1"/>
  <c r="H17" i="6" s="1"/>
  <c r="F35" i="6"/>
  <c r="G35" i="6" s="1"/>
  <c r="H35" i="6" s="1"/>
  <c r="F204" i="6"/>
  <c r="G204" i="6" s="1"/>
  <c r="H204" i="6" s="1"/>
  <c r="F281" i="6"/>
  <c r="G281" i="6" s="1"/>
  <c r="H281" i="6" s="1"/>
  <c r="F9" i="6"/>
  <c r="G9" i="6" s="1"/>
  <c r="H9" i="6" s="1"/>
  <c r="F58" i="6"/>
  <c r="G58" i="6" s="1"/>
  <c r="H58" i="6" s="1"/>
  <c r="F241" i="6"/>
  <c r="G241" i="6" s="1"/>
  <c r="H241" i="6" s="1"/>
  <c r="F40" i="6"/>
  <c r="G40" i="6" s="1"/>
  <c r="H40" i="6" s="1"/>
  <c r="F287" i="6"/>
  <c r="G287" i="6" s="1"/>
  <c r="H287" i="6" s="1"/>
  <c r="F111" i="6"/>
  <c r="G111" i="6" s="1"/>
  <c r="H111" i="6" s="1"/>
  <c r="F285" i="6"/>
  <c r="G285" i="6" s="1"/>
  <c r="H285" i="6" s="1"/>
  <c r="F107" i="6"/>
  <c r="G107" i="6" s="1"/>
  <c r="H107" i="6" s="1"/>
  <c r="F306" i="6"/>
  <c r="G306" i="6" s="1"/>
  <c r="H306" i="6" s="1"/>
  <c r="F106" i="6"/>
  <c r="G106" i="6" s="1"/>
  <c r="H106" i="6" s="1"/>
  <c r="F138" i="6"/>
  <c r="G138" i="6" s="1"/>
  <c r="H138" i="6" s="1"/>
  <c r="F213" i="6"/>
  <c r="G213" i="6" s="1"/>
  <c r="H213" i="6" s="1"/>
  <c r="F222" i="6"/>
  <c r="G222" i="6" s="1"/>
  <c r="H222" i="6" s="1"/>
  <c r="F316" i="6"/>
  <c r="G316" i="6" s="1"/>
  <c r="H316" i="6" s="1"/>
  <c r="F62" i="6"/>
  <c r="G62" i="6" s="1"/>
  <c r="H62" i="6" s="1"/>
  <c r="F60" i="6"/>
  <c r="G60" i="6" s="1"/>
  <c r="H60" i="6" s="1"/>
  <c r="F226" i="6"/>
  <c r="G226" i="6" s="1"/>
  <c r="H226" i="6" s="1"/>
  <c r="F307" i="6"/>
  <c r="G307" i="6" s="1"/>
  <c r="H307" i="6" s="1"/>
  <c r="F41" i="6"/>
  <c r="G41" i="6" s="1"/>
  <c r="H41" i="6" s="1"/>
  <c r="F75" i="6"/>
  <c r="G75" i="6" s="1"/>
  <c r="H75" i="6" s="1"/>
  <c r="F8" i="6"/>
  <c r="G8" i="6" s="1"/>
  <c r="H8" i="6" s="1"/>
  <c r="F42" i="6"/>
  <c r="G42" i="6" s="1"/>
  <c r="H42" i="6" s="1"/>
  <c r="F300" i="6"/>
  <c r="G300" i="6" s="1"/>
  <c r="H300" i="6" s="1"/>
  <c r="F127" i="6"/>
  <c r="G127" i="6" s="1"/>
  <c r="H127" i="6" s="1"/>
  <c r="F298" i="6"/>
  <c r="G298" i="6" s="1"/>
  <c r="H298" i="6" s="1"/>
  <c r="F123" i="6"/>
  <c r="G123" i="6" s="1"/>
  <c r="H123" i="6" s="1"/>
  <c r="F323" i="6"/>
  <c r="G323" i="6" s="1"/>
  <c r="H323" i="6" s="1"/>
  <c r="F108" i="6"/>
  <c r="G108" i="6" s="1"/>
  <c r="H108" i="6" s="1"/>
  <c r="F140" i="6"/>
  <c r="G140" i="6" s="1"/>
  <c r="H140" i="6" s="1"/>
  <c r="F228" i="6"/>
  <c r="G228" i="6" s="1"/>
  <c r="H228" i="6" s="1"/>
  <c r="F239" i="6"/>
  <c r="G239" i="6" s="1"/>
  <c r="H239" i="6" s="1"/>
  <c r="F267" i="6"/>
  <c r="G267" i="6" s="1"/>
  <c r="H267" i="6" s="1"/>
  <c r="F249" i="6"/>
  <c r="G249" i="6" s="1"/>
  <c r="H249" i="6" s="1"/>
  <c r="F7" i="6"/>
  <c r="G7" i="6" s="1"/>
  <c r="H7" i="6" s="1"/>
  <c r="F49" i="6"/>
  <c r="G49" i="6" s="1"/>
  <c r="H49" i="6" s="1"/>
  <c r="B39" i="4"/>
  <c r="B32" i="4"/>
  <c r="F37" i="6"/>
  <c r="G37" i="6" s="1"/>
  <c r="H37" i="6" s="1"/>
  <c r="F38" i="6"/>
  <c r="G38" i="6" s="1"/>
  <c r="H38" i="6" s="1"/>
  <c r="F104" i="6"/>
  <c r="G104" i="6" s="1"/>
  <c r="H104" i="6" s="1"/>
  <c r="F101" i="6"/>
  <c r="G101" i="6" s="1"/>
  <c r="H101" i="6" s="1"/>
  <c r="F90" i="6"/>
  <c r="G90" i="6" s="1"/>
  <c r="H90" i="6" s="1"/>
  <c r="F143" i="6"/>
  <c r="G143" i="6" s="1"/>
  <c r="H143" i="6" s="1"/>
  <c r="F282" i="6"/>
  <c r="G282" i="6" s="1"/>
  <c r="H282" i="6" s="1"/>
  <c r="F209" i="6"/>
  <c r="G209" i="6" s="1"/>
  <c r="H209" i="6" s="1"/>
  <c r="F170" i="6"/>
  <c r="G170" i="6" s="1"/>
  <c r="H170" i="6" s="1"/>
  <c r="F12" i="6"/>
  <c r="G12" i="6" s="1"/>
  <c r="H12" i="6" s="1"/>
  <c r="F155" i="6"/>
  <c r="G155" i="6" s="1"/>
  <c r="H155" i="6" s="1"/>
  <c r="F144" i="6"/>
  <c r="G144" i="6" s="1"/>
  <c r="H144" i="6" s="1"/>
  <c r="F299" i="6"/>
  <c r="G299" i="6" s="1"/>
  <c r="H299" i="6" s="1"/>
  <c r="F261" i="6"/>
  <c r="G261" i="6" s="1"/>
  <c r="H261" i="6" s="1"/>
  <c r="F15" i="6"/>
  <c r="G15" i="6" s="1"/>
  <c r="H15" i="6" s="1"/>
  <c r="F133" i="6"/>
  <c r="G133" i="6" s="1"/>
  <c r="H133" i="6" s="1"/>
  <c r="F73" i="6"/>
  <c r="G73" i="6" s="1"/>
  <c r="H73" i="6" s="1"/>
  <c r="F11" i="6"/>
  <c r="G11" i="6" s="1"/>
  <c r="H11" i="6" s="1"/>
  <c r="F172" i="6"/>
  <c r="G172" i="6" s="1"/>
  <c r="H172" i="6" s="1"/>
  <c r="F177" i="6"/>
  <c r="G177" i="6" s="1"/>
  <c r="H177" i="6" s="1"/>
  <c r="F16" i="6"/>
  <c r="G16" i="6" s="1"/>
  <c r="H16" i="6" s="1"/>
  <c r="F48" i="6"/>
  <c r="G48" i="6" s="1"/>
  <c r="H48" i="6" s="1"/>
  <c r="F63" i="6"/>
  <c r="G63" i="6" s="1"/>
  <c r="H63" i="6" s="1"/>
  <c r="F171" i="6"/>
  <c r="G171" i="6" s="1"/>
  <c r="H171" i="6" s="1"/>
  <c r="F321" i="6"/>
  <c r="G321" i="6" s="1"/>
  <c r="H321" i="6" s="1"/>
  <c r="F174" i="6"/>
  <c r="G174" i="6" s="1"/>
  <c r="H174" i="6" s="1"/>
  <c r="F198" i="6"/>
  <c r="G198" i="6" s="1"/>
  <c r="H198" i="6" s="1"/>
  <c r="F114" i="6"/>
  <c r="G114" i="6" s="1"/>
  <c r="H114" i="6" s="1"/>
  <c r="F146" i="6"/>
  <c r="G146" i="6" s="1"/>
  <c r="H146" i="6" s="1"/>
  <c r="F277" i="6"/>
  <c r="G277" i="6" s="1"/>
  <c r="H277" i="6" s="1"/>
  <c r="F286" i="6"/>
  <c r="G286" i="6" s="1"/>
  <c r="H286" i="6" s="1"/>
  <c r="F314" i="6"/>
  <c r="G314" i="6" s="1"/>
  <c r="H314" i="6" s="1"/>
  <c r="F54" i="6"/>
  <c r="G54" i="6" s="1"/>
  <c r="H54" i="6" s="1"/>
  <c r="F27" i="6"/>
  <c r="G27" i="6" s="1"/>
  <c r="H27" i="6" s="1"/>
  <c r="F45" i="6"/>
  <c r="G45" i="6" s="1"/>
  <c r="H45" i="6" s="1"/>
  <c r="F312" i="6"/>
  <c r="G312" i="6" s="1"/>
  <c r="H312" i="6" s="1"/>
  <c r="F214" i="6"/>
  <c r="G214" i="6" s="1"/>
  <c r="H214" i="6" s="1"/>
  <c r="F264" i="6"/>
  <c r="G264" i="6" s="1"/>
  <c r="H264" i="6" s="1"/>
  <c r="F291" i="6"/>
  <c r="G291" i="6" s="1"/>
  <c r="H291" i="6" s="1"/>
  <c r="F196" i="6"/>
  <c r="G196" i="6" s="1"/>
  <c r="H196" i="6" s="1"/>
  <c r="F51" i="6"/>
  <c r="G51" i="6" s="1"/>
  <c r="H51" i="6" s="1"/>
  <c r="F315" i="6"/>
  <c r="G315" i="6" s="1"/>
  <c r="H315" i="6" s="1"/>
  <c r="F166" i="6"/>
  <c r="G166" i="6" s="1"/>
  <c r="H166" i="6" s="1"/>
  <c r="F245" i="6"/>
  <c r="G245" i="6" s="1"/>
  <c r="H245" i="6" s="1"/>
  <c r="F243" i="6"/>
  <c r="G243" i="6" s="1"/>
  <c r="H243" i="6" s="1"/>
  <c r="F238" i="6"/>
  <c r="G238" i="6" s="1"/>
  <c r="H238" i="6" s="1"/>
  <c r="F194" i="6"/>
  <c r="G194" i="6" s="1"/>
  <c r="H194" i="6" s="1"/>
  <c r="F23" i="6"/>
  <c r="G23" i="6" s="1"/>
  <c r="H23" i="6" s="1"/>
  <c r="F14" i="6"/>
  <c r="G14" i="6" s="1"/>
  <c r="H14" i="6" s="1"/>
  <c r="F159" i="6"/>
  <c r="G159" i="6" s="1"/>
  <c r="H159" i="6" s="1"/>
  <c r="F183" i="6"/>
  <c r="G183" i="6" s="1"/>
  <c r="H183" i="6" s="1"/>
  <c r="F260" i="6"/>
  <c r="G260" i="6" s="1"/>
  <c r="H260" i="6" s="1"/>
  <c r="F231" i="6"/>
  <c r="G231" i="6" s="1"/>
  <c r="H231" i="6" s="1"/>
  <c r="D14" i="5"/>
  <c r="E14" i="5" s="1"/>
  <c r="F14" i="5" s="1"/>
  <c r="F182" i="6"/>
  <c r="G182" i="6" s="1"/>
  <c r="H182" i="6" s="1"/>
  <c r="F47" i="6"/>
  <c r="G47" i="6" s="1"/>
  <c r="H47" i="6" s="1"/>
  <c r="F149" i="6"/>
  <c r="G149" i="6" s="1"/>
  <c r="H149" i="6" s="1"/>
  <c r="F223" i="6"/>
  <c r="G223" i="6" s="1"/>
  <c r="H223" i="6" s="1"/>
  <c r="F43" i="6"/>
  <c r="G43" i="6" s="1"/>
  <c r="H43" i="6" s="1"/>
  <c r="F202" i="6"/>
  <c r="G202" i="6" s="1"/>
  <c r="H202" i="6" s="1"/>
  <c r="F221" i="6"/>
  <c r="G221" i="6" s="1"/>
  <c r="H221" i="6" s="1"/>
  <c r="F18" i="6"/>
  <c r="G18" i="6" s="1"/>
  <c r="H18" i="6" s="1"/>
  <c r="F65" i="6"/>
  <c r="G65" i="6" s="1"/>
  <c r="H65" i="6" s="1"/>
  <c r="F78" i="6"/>
  <c r="G78" i="6" s="1"/>
  <c r="H78" i="6" s="1"/>
  <c r="F272" i="6"/>
  <c r="G272" i="6" s="1"/>
  <c r="H272" i="6" s="1"/>
  <c r="F55" i="6"/>
  <c r="G55" i="6" s="1"/>
  <c r="H55" i="6" s="1"/>
  <c r="F191" i="6"/>
  <c r="G191" i="6" s="1"/>
  <c r="H191" i="6" s="1"/>
  <c r="F215" i="6"/>
  <c r="G215" i="6" s="1"/>
  <c r="H215" i="6" s="1"/>
  <c r="F116" i="6"/>
  <c r="G116" i="6" s="1"/>
  <c r="H116" i="6" s="1"/>
  <c r="F148" i="6"/>
  <c r="G148" i="6" s="1"/>
  <c r="H148" i="6" s="1"/>
  <c r="F292" i="6"/>
  <c r="G292" i="6" s="1"/>
  <c r="H292" i="6" s="1"/>
  <c r="F303" i="6"/>
  <c r="G303" i="6" s="1"/>
  <c r="H303" i="6" s="1"/>
  <c r="F169" i="6"/>
  <c r="G169" i="6" s="1"/>
  <c r="H169" i="6" s="1"/>
  <c r="F96" i="6"/>
  <c r="G96" i="6" s="1"/>
  <c r="H96" i="6" s="1"/>
  <c r="F134" i="6"/>
  <c r="G134" i="6" s="1"/>
  <c r="H134" i="6" s="1"/>
  <c r="F39" i="6"/>
  <c r="G39" i="6" s="1"/>
  <c r="H39" i="6" s="1"/>
  <c r="F218" i="6"/>
  <c r="G218" i="6" s="1"/>
  <c r="H218" i="6" s="1"/>
  <c r="F257" i="6"/>
  <c r="G257" i="6" s="1"/>
  <c r="H257" i="6" s="1"/>
  <c r="F301" i="6"/>
  <c r="G301" i="6" s="1"/>
  <c r="H301" i="6" s="1"/>
  <c r="F268" i="6"/>
  <c r="G268" i="6" s="1"/>
  <c r="H268" i="6" s="1"/>
  <c r="F86" i="6"/>
  <c r="G86" i="6" s="1"/>
  <c r="H86" i="6" s="1"/>
  <c r="F44" i="6"/>
  <c r="G44" i="6" s="1"/>
  <c r="H44" i="6" s="1"/>
  <c r="F139" i="6"/>
  <c r="G139" i="6" s="1"/>
  <c r="H139" i="6" s="1"/>
  <c r="F110" i="6"/>
  <c r="G110" i="6" s="1"/>
  <c r="H110" i="6" s="1"/>
  <c r="F254" i="6"/>
  <c r="G254" i="6" s="1"/>
  <c r="H254" i="6" s="1"/>
  <c r="F117" i="6"/>
  <c r="G117" i="6" s="1"/>
  <c r="H117" i="6" s="1"/>
  <c r="F79" i="6"/>
  <c r="G79" i="6" s="1"/>
  <c r="H79" i="6" s="1"/>
  <c r="F46" i="6"/>
  <c r="G46" i="6" s="1"/>
  <c r="H46" i="6" s="1"/>
  <c r="F313" i="6"/>
  <c r="G313" i="6" s="1"/>
  <c r="H313" i="6" s="1"/>
  <c r="F112" i="6"/>
  <c r="G112" i="6" s="1"/>
  <c r="H112" i="6" s="1"/>
  <c r="F271" i="6"/>
  <c r="G271" i="6" s="1"/>
  <c r="H271" i="6" s="1"/>
  <c r="F59" i="6"/>
  <c r="G59" i="6" s="1"/>
  <c r="H59" i="6" s="1"/>
  <c r="F13" i="6"/>
  <c r="G13" i="6" s="1"/>
  <c r="H13" i="6" s="1"/>
  <c r="F52" i="6"/>
  <c r="G52" i="6" s="1"/>
  <c r="H52" i="6" s="1"/>
  <c r="F165" i="6"/>
  <c r="G165" i="6" s="1"/>
  <c r="H165" i="6" s="1"/>
  <c r="F253" i="6"/>
  <c r="G253" i="6" s="1"/>
  <c r="H253" i="6" s="1"/>
  <c r="F31" i="6"/>
  <c r="G31" i="6" s="1"/>
  <c r="H31" i="6" s="1"/>
  <c r="F240" i="6"/>
  <c r="G240" i="6" s="1"/>
  <c r="H240" i="6" s="1"/>
  <c r="F258" i="6"/>
  <c r="G258" i="6" s="1"/>
  <c r="H258" i="6" s="1"/>
  <c r="F20" i="6"/>
  <c r="G20" i="6" s="1"/>
  <c r="H20" i="6" s="1"/>
  <c r="F80" i="6"/>
  <c r="G80" i="6" s="1"/>
  <c r="H80" i="6" s="1"/>
  <c r="F95" i="6"/>
  <c r="G95" i="6" s="1"/>
  <c r="H95" i="6" s="1"/>
  <c r="F290" i="6"/>
  <c r="G290" i="6" s="1"/>
  <c r="H290" i="6" s="1"/>
  <c r="F70" i="6"/>
  <c r="G70" i="6" s="1"/>
  <c r="H70" i="6" s="1"/>
  <c r="F235" i="6"/>
  <c r="G235" i="6" s="1"/>
  <c r="H235" i="6" s="1"/>
  <c r="F230" i="6"/>
  <c r="G230" i="6" s="1"/>
  <c r="H230" i="6" s="1"/>
  <c r="F118" i="6"/>
  <c r="G118" i="6" s="1"/>
  <c r="H118" i="6" s="1"/>
  <c r="F150" i="6"/>
  <c r="G150" i="6" s="1"/>
  <c r="H150" i="6" s="1"/>
  <c r="F309" i="6"/>
  <c r="G309" i="6" s="1"/>
  <c r="H309" i="6" s="1"/>
  <c r="F318" i="6"/>
  <c r="G318" i="6" s="1"/>
  <c r="H318" i="6" s="1"/>
  <c r="F184" i="6"/>
  <c r="G184" i="6" s="1"/>
  <c r="H184" i="6" s="1"/>
  <c r="F232" i="6"/>
  <c r="G232" i="6" s="1"/>
  <c r="H232" i="6" s="1"/>
  <c r="F207" i="6"/>
  <c r="G207" i="6" s="1"/>
  <c r="H207" i="6" s="1"/>
  <c r="F176" i="6"/>
  <c r="G176" i="6" s="1"/>
  <c r="H176" i="6" s="1"/>
  <c r="F276" i="6"/>
  <c r="G276" i="6" s="1"/>
  <c r="H276" i="6" s="1"/>
  <c r="F22" i="6"/>
  <c r="G22" i="6" s="1"/>
  <c r="H22" i="6" s="1"/>
  <c r="F200" i="6"/>
  <c r="G200" i="6" s="1"/>
  <c r="H200" i="6" s="1"/>
  <c r="F87" i="6"/>
  <c r="G87" i="6" s="1"/>
  <c r="H87" i="6" s="1"/>
  <c r="F275" i="6"/>
  <c r="G275" i="6" s="1"/>
  <c r="H275" i="6" s="1"/>
  <c r="F247" i="6"/>
  <c r="G247" i="6" s="1"/>
  <c r="H247" i="6" s="1"/>
  <c r="F120" i="6"/>
  <c r="G120" i="6" s="1"/>
  <c r="H120" i="6" s="1"/>
  <c r="F152" i="6"/>
  <c r="G152" i="6" s="1"/>
  <c r="H152" i="6" s="1"/>
  <c r="F173" i="6"/>
  <c r="G173" i="6" s="1"/>
  <c r="H173" i="6" s="1"/>
  <c r="F201" i="6"/>
  <c r="G201" i="6" s="1"/>
  <c r="H201" i="6" s="1"/>
  <c r="B28" i="5"/>
  <c r="E8" i="7" s="1"/>
  <c r="B27" i="5"/>
  <c r="D8" i="7" s="1"/>
  <c r="F181" i="6"/>
  <c r="G181" i="6" s="1"/>
  <c r="H181" i="6" s="1"/>
  <c r="F284" i="6"/>
  <c r="G284" i="6" s="1"/>
  <c r="H284" i="6" s="1"/>
  <c r="F234" i="6"/>
  <c r="G234" i="6" s="1"/>
  <c r="H234" i="6" s="1"/>
  <c r="F151" i="6"/>
  <c r="G151" i="6" s="1"/>
  <c r="H151" i="6" s="1"/>
  <c r="F250" i="6"/>
  <c r="G250" i="6" s="1"/>
  <c r="H250" i="6" s="1"/>
  <c r="F10" i="6"/>
  <c r="G10" i="6" s="1"/>
  <c r="H10" i="6" s="1"/>
  <c r="F308" i="6"/>
  <c r="G308" i="6" s="1"/>
  <c r="H308" i="6" s="1"/>
  <c r="F142" i="6"/>
  <c r="G142" i="6" s="1"/>
  <c r="H142" i="6" s="1"/>
  <c r="F88" i="6"/>
  <c r="G88" i="6" s="1"/>
  <c r="H88" i="6" s="1"/>
  <c r="F278" i="6"/>
  <c r="G278" i="6" s="1"/>
  <c r="H278" i="6" s="1"/>
  <c r="F56" i="6"/>
  <c r="G56" i="6" s="1"/>
  <c r="H56" i="6" s="1"/>
  <c r="F322" i="6"/>
  <c r="G322" i="6" s="1"/>
  <c r="H322" i="6" s="1"/>
  <c r="F97" i="6"/>
  <c r="G97" i="6" s="1"/>
  <c r="H97" i="6" s="1"/>
  <c r="F57" i="6"/>
  <c r="G57" i="6" s="1"/>
  <c r="H57" i="6" s="1"/>
  <c r="F324" i="6"/>
  <c r="G324" i="6" s="1"/>
  <c r="H324" i="6" s="1"/>
  <c r="F187" i="6"/>
  <c r="G187" i="6" s="1"/>
  <c r="H187" i="6" s="1"/>
  <c r="F179" i="6"/>
  <c r="G179" i="6" s="1"/>
  <c r="H179" i="6" s="1"/>
  <c r="F21" i="6"/>
  <c r="G21" i="6" s="1"/>
  <c r="H21" i="6" s="1"/>
  <c r="F66" i="6"/>
  <c r="G66" i="6" s="1"/>
  <c r="H66" i="6" s="1"/>
  <c r="F319" i="6"/>
  <c r="G319" i="6" s="1"/>
  <c r="H319" i="6" s="1"/>
  <c r="F50" i="6"/>
  <c r="G50" i="6" s="1"/>
  <c r="H50" i="6" s="1"/>
  <c r="F24" i="6"/>
  <c r="G24" i="6" s="1"/>
  <c r="H24" i="6" s="1"/>
  <c r="F113" i="6"/>
  <c r="G113" i="6" s="1"/>
  <c r="H113" i="6" s="1"/>
  <c r="F212" i="6"/>
  <c r="G212" i="6" s="1"/>
  <c r="H212" i="6" s="1"/>
  <c r="F72" i="6"/>
  <c r="G72" i="6" s="1"/>
  <c r="H72" i="6" s="1"/>
  <c r="F186" i="6"/>
  <c r="G186" i="6" s="1"/>
  <c r="H186" i="6" s="1"/>
  <c r="F178" i="6"/>
  <c r="G178" i="6" s="1"/>
  <c r="H178" i="6" s="1"/>
  <c r="F262" i="6"/>
  <c r="G262" i="6" s="1"/>
  <c r="H262" i="6" s="1"/>
  <c r="F122" i="6"/>
  <c r="G122" i="6" s="1"/>
  <c r="H122" i="6" s="1"/>
  <c r="F154" i="6"/>
  <c r="G154" i="6" s="1"/>
  <c r="H154" i="6" s="1"/>
  <c r="F256" i="6"/>
  <c r="G256" i="6" s="1"/>
  <c r="H256" i="6" s="1"/>
  <c r="F188" i="6"/>
  <c r="G188" i="6" s="1"/>
  <c r="H188" i="6" s="1"/>
  <c r="F216" i="6"/>
  <c r="G216" i="6" s="1"/>
  <c r="H216" i="6" s="1"/>
  <c r="F119" i="6"/>
  <c r="G119" i="6" s="1"/>
  <c r="H119" i="6" s="1"/>
  <c r="F304" i="6"/>
  <c r="G304" i="6" s="1"/>
  <c r="H304" i="6" s="1"/>
  <c r="F85" i="6"/>
  <c r="G85" i="6" s="1"/>
  <c r="H85" i="6" s="1"/>
  <c r="F317" i="6"/>
  <c r="G317" i="6" s="1"/>
  <c r="H317" i="6" s="1"/>
  <c r="F211" i="6"/>
  <c r="G211" i="6" s="1"/>
  <c r="H211" i="6" s="1"/>
  <c r="F244" i="6"/>
  <c r="G244" i="6" s="1"/>
  <c r="H244" i="6" s="1"/>
  <c r="F94" i="6"/>
  <c r="G94" i="6" s="1"/>
  <c r="H94" i="6" s="1"/>
  <c r="F71" i="6"/>
  <c r="G71" i="6" s="1"/>
  <c r="H71" i="6" s="1"/>
  <c r="F19" i="6"/>
  <c r="G19" i="6" s="1"/>
  <c r="H19" i="6" s="1"/>
  <c r="F67" i="6"/>
  <c r="G67" i="6" s="1"/>
  <c r="H67" i="6" s="1"/>
  <c r="F26" i="6"/>
  <c r="G26" i="6" s="1"/>
  <c r="H26" i="6" s="1"/>
  <c r="F129" i="6"/>
  <c r="G129" i="6" s="1"/>
  <c r="H129" i="6" s="1"/>
  <c r="F217" i="6"/>
  <c r="G217" i="6" s="1"/>
  <c r="H217" i="6" s="1"/>
  <c r="F89" i="6"/>
  <c r="G89" i="6" s="1"/>
  <c r="H89" i="6" s="1"/>
  <c r="F208" i="6"/>
  <c r="G208" i="6" s="1"/>
  <c r="H208" i="6" s="1"/>
  <c r="F195" i="6"/>
  <c r="G195" i="6" s="1"/>
  <c r="H195" i="6" s="1"/>
  <c r="F279" i="6"/>
  <c r="G279" i="6" s="1"/>
  <c r="H279" i="6" s="1"/>
  <c r="F124" i="6"/>
  <c r="G124" i="6" s="1"/>
  <c r="H124" i="6" s="1"/>
  <c r="F156" i="6"/>
  <c r="G156" i="6" s="1"/>
  <c r="H156" i="6" s="1"/>
  <c r="F273" i="6"/>
  <c r="G273" i="6" s="1"/>
  <c r="H273" i="6" s="1"/>
  <c r="F205" i="6"/>
  <c r="G205" i="6" s="1"/>
  <c r="H205" i="6" s="1"/>
  <c r="F233" i="6"/>
  <c r="G233" i="6" s="1"/>
  <c r="H233" i="6" s="1"/>
  <c r="F197" i="6"/>
  <c r="G197" i="6" s="1"/>
  <c r="H197" i="6" s="1"/>
  <c r="F77" i="6"/>
  <c r="G77" i="6" s="1"/>
  <c r="H77" i="6" s="1"/>
  <c r="B342" i="6" l="1"/>
  <c r="H341" i="6"/>
  <c r="G341" i="6"/>
  <c r="F341" i="6"/>
  <c r="E341" i="6"/>
  <c r="D341" i="6"/>
  <c r="B339" i="6"/>
  <c r="G332" i="6"/>
  <c r="E330" i="6"/>
  <c r="C341" i="6"/>
  <c r="B341" i="6"/>
  <c r="H340" i="6"/>
  <c r="F338" i="6"/>
  <c r="D332" i="6"/>
  <c r="B330" i="6"/>
  <c r="G340" i="6"/>
  <c r="H342" i="6"/>
  <c r="G342" i="6"/>
  <c r="E340" i="6"/>
  <c r="C338" i="6"/>
  <c r="H331" i="6"/>
  <c r="F329" i="6"/>
  <c r="F342" i="6"/>
  <c r="D340" i="6"/>
  <c r="B338" i="6"/>
  <c r="G331" i="6"/>
  <c r="E329" i="6"/>
  <c r="E342" i="6"/>
  <c r="D342" i="6"/>
  <c r="B340" i="6"/>
  <c r="G333" i="6"/>
  <c r="E331" i="6"/>
  <c r="C329" i="6"/>
  <c r="C342" i="6"/>
  <c r="F340" i="6"/>
  <c r="C333" i="6"/>
  <c r="H329" i="6"/>
  <c r="C340" i="6"/>
  <c r="B333" i="6"/>
  <c r="G329" i="6"/>
  <c r="H339" i="6"/>
  <c r="H332" i="6"/>
  <c r="D329" i="6"/>
  <c r="G339" i="6"/>
  <c r="F332" i="6"/>
  <c r="B329" i="6"/>
  <c r="F339" i="6"/>
  <c r="E332" i="6"/>
  <c r="D339" i="6"/>
  <c r="B332" i="6"/>
  <c r="C339" i="6"/>
  <c r="F331" i="6"/>
  <c r="F333" i="6"/>
  <c r="F330" i="6"/>
  <c r="E339" i="6"/>
  <c r="H338" i="6"/>
  <c r="G338" i="6"/>
  <c r="E338" i="6"/>
  <c r="D338" i="6"/>
  <c r="H333" i="6"/>
  <c r="E333" i="6"/>
  <c r="D333" i="6"/>
  <c r="C332" i="6"/>
  <c r="H330" i="6"/>
  <c r="D331" i="6"/>
  <c r="C331" i="6"/>
  <c r="B331" i="6"/>
  <c r="D330" i="6"/>
  <c r="G330" i="6"/>
  <c r="C330" i="6"/>
  <c r="H5" i="6"/>
</calcChain>
</file>

<file path=xl/sharedStrings.xml><?xml version="1.0" encoding="utf-8"?>
<sst xmlns="http://schemas.openxmlformats.org/spreadsheetml/2006/main" count="3750" uniqueCount="185">
  <si>
    <t>Original Dataset (unchanged) — store_performance</t>
  </si>
  <si>
    <t>320 rows, 80 stores x 4 months (Jan-Apr 2025). Reference copy only; all analysis works from Cleaned_Data onward.</t>
  </si>
  <si>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</si>
  <si>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</si>
  <si>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</si>
  <si>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</si>
  <si>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</si>
  <si>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</si>
  <si>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</si>
  <si>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</si>
  <si>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</si>
  <si>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</si>
  <si>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</si>
  <si>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</si>
  <si>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</si>
  <si>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</si>
  <si>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</si>
  <si>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</si>
  <si>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</si>
  <si>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</si>
  <si>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</si>
  <si>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</si>
  <si>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</si>
  <si>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</si>
  <si>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</si>
  <si>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</si>
  <si>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</si>
  <si>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</si>
  <si>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</si>
  <si>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</si>
  <si>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</si>
  <si>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</si>
  <si>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</si>
  <si>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</si>
  <si>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</si>
  <si>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</si>
  <si>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</si>
  <si>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</si>
  <si>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</si>
  <si>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</si>
  <si>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</si>
  <si>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</si>
  <si>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</si>
  <si>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</si>
  <si>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</si>
  <si>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</si>
  <si>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</si>
  <si>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</si>
  <si>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</si>
  <si>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</si>
  <si>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</si>
  <si>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</si>
  <si>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</si>
  <si>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</si>
  <si>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</si>
  <si>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</si>
  <si>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</si>
  <si>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</si>
  <si>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</si>
  <si>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</si>
  <si>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</si>
  <si>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</si>
  <si>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</si>
  <si>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</si>
  <si>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</si>
  <si>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</si>
  <si>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</si>
  <si>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</si>
  <si>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</si>
  <si>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</si>
  <si>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</si>
  <si>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</si>
  <si>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</si>
  <si>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</si>
  <si>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</si>
  <si>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</si>
  <si>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</si>
  <si>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</si>
  <si>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</si>
  <si>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</si>
  <si>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</si>
  <si>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</si>
  <si>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</si>
  <si>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</si>
  <si>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</si>
  <si>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</si>
  <si>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</si>
  <si>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</si>
  <si>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</si>
  <si>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</si>
  <si>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</si>
  <si>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</si>
  <si>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</si>
  <si>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</si>
  <si>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</si>
  <si>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</si>
  <si>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</si>
  <si>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</si>
  <si>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</si>
  <si>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</si>
  <si>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</si>
  <si>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</si>
  <si>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</si>
  <si>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</si>
  <si>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Cleaned / Prepared Data</t>
  </si>
  <si>
    <t>Missing competitor_distance_km (6 rows) and customer_rating (8 rows) imputed with the column median. All other columns are unchanged from Original_Data. Flag columns mark imputed cells.</t>
  </si>
  <si>
    <t>competitor_distance_km_imputed</t>
  </si>
  <si>
    <t>customer_rating_imputed</t>
  </si>
  <si>
    <t>No</t>
  </si>
  <si>
    <t>Yes</t>
  </si>
  <si>
    <t>Dummy Variable Creation — Regression-Ready Table</t>
  </si>
  <si>
    <t>store_type (Mall, High Street, Residential, Airport) is converted into 3 dummy columns. Reference category = "High Street" (most common type, n=116) — it is intentionally left out to avoid the dummy-variable trap (perfect multicollinearity if all 4 categories + an intercept were included together). Each dummy coefficient in the regression is read as the sales difference vs. a High Street store, all else equal.</t>
  </si>
  <si>
    <t>store_type_Mall</t>
  </si>
  <si>
    <t>store_type_Residential</t>
  </si>
  <si>
    <t>store_type_Airport</t>
  </si>
  <si>
    <t>Simple Linear Regression Models</t>
  </si>
  <si>
    <t>Each model regresses monthly_sales on a single independent variable. Computed live via Excel LINEST().</t>
  </si>
  <si>
    <t>Simple Model 1:  monthly_sales ~ marketing_spend</t>
  </si>
  <si>
    <t>Row 1: [slope, intercept]</t>
  </si>
  <si>
    <t>Row 2: [SE(slope), SE(intercept)]</t>
  </si>
  <si>
    <t>Row 3: [R-squared, SE(y)]</t>
  </si>
  <si>
    <t>Row 4: [F-statistic, df residual]</t>
  </si>
  <si>
    <t>Row 5: [SS regression, SS residual]</t>
  </si>
  <si>
    <t>Statistic</t>
  </si>
  <si>
    <t>Value</t>
  </si>
  <si>
    <t>Slope (coefficient)</t>
  </si>
  <si>
    <t>Intercept</t>
  </si>
  <si>
    <t>R-squared</t>
  </si>
  <si>
    <t>Standard Error of slope</t>
  </si>
  <si>
    <t>t-statistic</t>
  </si>
  <si>
    <t>Degrees of freedom (resid.)</t>
  </si>
  <si>
    <t>P-value (two-tailed)</t>
  </si>
  <si>
    <t>N (observations)</t>
  </si>
  <si>
    <t>Equation</t>
  </si>
  <si>
    <t>Simple Model 2:  monthly_sales ~ footfall</t>
  </si>
  <si>
    <t>Simple Model 3:  monthly_sales ~ avg_discount_pct</t>
  </si>
  <si>
    <t>Multiple Linear Regression Models</t>
  </si>
  <si>
    <t>Model A includes all numeric predictors + staff_count + store_type dummies. Model B (FINAL MODEL) drops staff_count because it is highly correlated with footfall (r = 0.92), which destabilizes both coefficients without meaningfully improving R-squared. See model_comparison.md for the full justification.</t>
  </si>
  <si>
    <t>Model A — Full Multiple Regression (includes staff_count)</t>
  </si>
  <si>
    <t>X variables (11): marketing_spend, footfall, avg_discount_pct, inventory_availability_pct, competitor_distance_km, holiday_flag, customer_rating, store_type_Mall, store_type_Residential, store_type_Airport, staff_count</t>
  </si>
  <si>
    <t>Row 1: coefficients (reverse x-order), intercept last</t>
  </si>
  <si>
    <t>Row 2: standard errors (same order)</t>
  </si>
  <si>
    <t>Note: #N/A in rows 4-5 beyond column B is standard Excel LINEST behavior (F-stat/df/SS only ever occupy the first 2 columns) — not a formula error.</t>
  </si>
  <si>
    <t>Coefficient Table</t>
  </si>
  <si>
    <t>Variable</t>
  </si>
  <si>
    <t>Coefficient</t>
  </si>
  <si>
    <t>Std. Error</t>
  </si>
  <si>
    <t>t-stat</t>
  </si>
  <si>
    <t>P-value</t>
  </si>
  <si>
    <t>95% Sig.?</t>
  </si>
  <si>
    <t>Adjusted R-squared</t>
  </si>
  <si>
    <t>F-statistic</t>
  </si>
  <si>
    <t>N predictors</t>
  </si>
  <si>
    <t>N observations</t>
  </si>
  <si>
    <t>Model B — FINAL Multiple Regression (drops staff_count; multicollinearity fix)</t>
  </si>
  <si>
    <t>X variables (10): marketing_spend, footfall, avg_discount_pct, inventory_availability_pct, competitor_distance_km, holiday_flag, customer_rating, store_type_Mall, store_type_Residential, store_type_Airport</t>
  </si>
  <si>
    <t>Predicted Sales &amp; Residuals — FINAL Model (Model B)</t>
  </si>
  <si>
    <t>predicted_sales uses the Model B coefficients from Multiple_Regression (cells B44:B54). residual = monthly_sales - predicted_sales.</t>
  </si>
  <si>
    <t>predicted_sales</t>
  </si>
  <si>
    <t>residual</t>
  </si>
  <si>
    <t>abs_residual</t>
  </si>
  <si>
    <t>Top 5 Largest POSITIVE Residuals (model under-predicts — actual sales exceed prediction)</t>
  </si>
  <si>
    <t>Rank</t>
  </si>
  <si>
    <t>Top 5 Largest NEGATIVE Residuals (model over-predicts — actual sales fall short of prediction)</t>
  </si>
  <si>
    <t>Model Comparison — All Regression Models</t>
  </si>
  <si>
    <t>Live comparison pulling R-squared, key coefficient, and significance directly from each model sheet.</t>
  </si>
  <si>
    <t>Model</t>
  </si>
  <si>
    <t>Type</t>
  </si>
  <si>
    <t>Key Variable(s)</t>
  </si>
  <si>
    <t>Adj. R-squared</t>
  </si>
  <si>
    <t>P-value (key var)</t>
  </si>
  <si>
    <t>N</t>
  </si>
  <si>
    <t>Simple Model 1</t>
  </si>
  <si>
    <t>Simple</t>
  </si>
  <si>
    <t>n/a</t>
  </si>
  <si>
    <t>Simple Model 2</t>
  </si>
  <si>
    <t>Simple Model 3</t>
  </si>
  <si>
    <t>Model A (Full)</t>
  </si>
  <si>
    <t>Multiple</t>
  </si>
  <si>
    <t>11 predictors incl. staff_count</t>
  </si>
  <si>
    <t>see coef. table</t>
  </si>
  <si>
    <t>Model B (FINAL)</t>
  </si>
  <si>
    <t>10 predictors (drops staff_count)</t>
  </si>
  <si>
    <t>Full written comparison (business usefulness, significant variables, limitations) is in analysis/model_comparison.md.</t>
  </si>
  <si>
    <t>Final model selected: Model B — see outputs/model_equations.md for the full equation and reasoning.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</si>
</sst>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0"/>
    <numFmt numFmtId="166" formatCode="mmm\-yyyy"/>
  </numFmts>
  <fonts count="6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9.5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0" fontId="2" fillId="0" borderId="0" xfId="0" applyFont="1" applyAlignment="1">
      <alignment wrapText="1"/>
    </xf>
    <xf numFmtId="0" fontId="5" fillId="0" borderId="0" xfId="0" applyFont="1"/>
    <xf numFmtId="0" fontId="3" fillId="2" borderId="0" xfId="0" applyFont="1" applyFill="1"/>
    <xf numFmtId="165" fontId="4" fillId="0" borderId="1" xfId="0" applyNumberFormat="1" applyFont="1" applyBorder="1"/>
    <xf numFmtId="11" fontId="4" fillId="0" borderId="1" xfId="0" applyNumberFormat="1" applyFont="1" applyBorder="1"/>
    <xf numFmtId="0" fontId="5" fillId="0" borderId="1" xfId="0" applyFont="1" applyBorder="1"/>
    <xf numFmtId="166" fontId="4" fillId="0" borderId="1" xfId="0" applyNumberFormat="1" applyFont="1" applyBorder="1"/>
    <xf numFmtId="3" fontId="4" fillId="0" borderId="1" xfId="0" applyNumberFormat="1" applyFont="1" applyBorder="1"/>
    <xf numFmtId="0" fontId="4" fillId="3" borderId="1" xfId="0" applyFont="1" applyFill="1" applyBorder="1"/>
    <xf numFmtId="165" fontId="4" fillId="3" borderId="1" xfId="0" applyNumberFormat="1" applyFont="1" applyFill="1" applyBorder="1"/>
    <xf numFmtId="11" fontId="4" fillId="3" borderId="1" xfId="0" applyNumberFormat="1" applyFont="1" applyFill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4"/>
  <sheetViews>
    <sheetView showGridLines="0" topLeftCell="J1" zoomScaleNormal="100" workbookViewId="0">
      <pane ySplit="4" topLeftCell="A5" activePane="bottomLeft" state="frozen"/>
      <selection pane="bottomLeft" activeCell="N8" sqref="N8"/>
    </sheetView>
  </sheetViews>
  <sheetFormatPr defaultColWidth="8.6328125" defaultRowHeight="14.5" x14ac:dyDescent="0.35"/>
  <cols>
    <col min="1" max="1" width="11.6328125" customWidth="1"/>
    <col min="2" max="3" width="10.81640625" bestFit="1" customWidth="1"/>
    <col min="4" max="4" width="14.54296875" bestFit="1" customWidth="1"/>
    <col min="5" max="5" width="20.26953125" bestFit="1" customWidth="1"/>
    <col min="6" max="6" width="11.36328125" bestFit="1" customWidth="1"/>
    <col min="7" max="7" width="20.7265625" bestFit="1" customWidth="1"/>
    <col min="8" max="8" width="15.1796875" bestFit="1" customWidth="1"/>
    <col min="9" max="9" width="27.453125" bestFit="1" customWidth="1"/>
    <col min="10" max="10" width="26.7265625" bestFit="1" customWidth="1"/>
    <col min="11" max="11" width="15.7265625" bestFit="1" customWidth="1"/>
    <col min="12" max="12" width="19.54296875" bestFit="1" customWidth="1"/>
    <col min="13" max="13" width="17.81640625" bestFit="1" customWidth="1"/>
    <col min="14" max="14" width="18" bestFit="1" customWidth="1"/>
  </cols>
  <sheetData>
    <row r="1" spans="1:14" ht="18" x14ac:dyDescent="0.4">
      <c r="A1" s="1" t="s">
        <v>0</v>
      </c>
    </row>
    <row r="2" spans="1:14" x14ac:dyDescent="0.35">
      <c r="A2" s="17" t="s">
        <v>1</v>
      </c>
      <c r="B2" s="17"/>
      <c r="C2" s="17"/>
      <c r="D2" s="17"/>
      <c r="E2" s="17"/>
      <c r="F2" s="17"/>
      <c r="G2" s="17"/>
    </row>
    <row r="4" spans="1:14" ht="15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spans="1:14" x14ac:dyDescent="0.35">
      <c r="A5" s="4" t="s">
        <v>16</v>
      </c>
      <c r="B5" s="5">
        <v>45658</v>
      </c>
      <c r="C5" s="4" t="s">
        <v>17</v>
      </c>
      <c r="D5" s="4" t="s">
        <v>18</v>
      </c>
      <c r="E5" s="4">
        <v>70389.11</v>
      </c>
      <c r="F5" s="4">
        <v>8302</v>
      </c>
      <c r="G5" s="4">
        <v>4.2000000000000003E-2</v>
      </c>
      <c r="H5" s="4">
        <v>17</v>
      </c>
      <c r="I5" s="4">
        <v>75</v>
      </c>
      <c r="J5" s="4">
        <v>5.28</v>
      </c>
      <c r="K5" s="4">
        <v>1</v>
      </c>
      <c r="L5" s="4">
        <v>3.1</v>
      </c>
      <c r="M5" s="4">
        <v>658832.62</v>
      </c>
      <c r="N5" s="4">
        <v>84349.93</v>
      </c>
    </row>
    <row r="6" spans="1:14" x14ac:dyDescent="0.35">
      <c r="A6" s="4" t="s">
        <v>16</v>
      </c>
      <c r="B6" s="5">
        <v>45689</v>
      </c>
      <c r="C6" s="4" t="s">
        <v>17</v>
      </c>
      <c r="D6" s="4" t="s">
        <v>18</v>
      </c>
      <c r="E6" s="4">
        <v>43827.89</v>
      </c>
      <c r="F6" s="4">
        <v>8487</v>
      </c>
      <c r="G6" s="4">
        <v>0.16800000000000001</v>
      </c>
      <c r="H6" s="4">
        <v>23</v>
      </c>
      <c r="I6" s="4">
        <v>84.4</v>
      </c>
      <c r="J6" s="4">
        <v>4.3099999999999996</v>
      </c>
      <c r="K6" s="4">
        <v>0</v>
      </c>
      <c r="L6" s="4">
        <v>2.8</v>
      </c>
      <c r="M6" s="4">
        <v>634436</v>
      </c>
      <c r="N6" s="4">
        <v>106130.54</v>
      </c>
    </row>
    <row r="7" spans="1:14" x14ac:dyDescent="0.35">
      <c r="A7" s="4" t="s">
        <v>16</v>
      </c>
      <c r="B7" s="5">
        <v>45717</v>
      </c>
      <c r="C7" s="4" t="s">
        <v>17</v>
      </c>
      <c r="D7" s="4" t="s">
        <v>18</v>
      </c>
      <c r="E7" s="4">
        <v>59921.75</v>
      </c>
      <c r="F7" s="4">
        <v>9113</v>
      </c>
      <c r="G7" s="4">
        <v>0.13300000000000001</v>
      </c>
      <c r="H7" s="4">
        <v>20</v>
      </c>
      <c r="I7" s="4">
        <v>88</v>
      </c>
      <c r="J7" s="4">
        <v>12</v>
      </c>
      <c r="K7" s="4">
        <v>0</v>
      </c>
      <c r="L7" s="4">
        <v>3.2</v>
      </c>
      <c r="M7" s="4">
        <v>678722.06</v>
      </c>
      <c r="N7" s="4">
        <v>101883.86</v>
      </c>
    </row>
    <row r="8" spans="1:14" x14ac:dyDescent="0.35">
      <c r="A8" s="4" t="s">
        <v>16</v>
      </c>
      <c r="B8" s="5">
        <v>45748</v>
      </c>
      <c r="C8" s="4" t="s">
        <v>17</v>
      </c>
      <c r="D8" s="4" t="s">
        <v>18</v>
      </c>
      <c r="E8" s="4">
        <v>56856.63</v>
      </c>
      <c r="F8" s="4">
        <v>9431</v>
      </c>
      <c r="G8" s="4">
        <v>0.14199999999999999</v>
      </c>
      <c r="H8" s="4">
        <v>23</v>
      </c>
      <c r="I8" s="4">
        <v>86.9</v>
      </c>
      <c r="J8" s="4">
        <v>4.97</v>
      </c>
      <c r="K8" s="4">
        <v>0</v>
      </c>
      <c r="L8" s="4">
        <v>3.4</v>
      </c>
      <c r="M8" s="4">
        <v>658920.30000000005</v>
      </c>
      <c r="N8" s="4">
        <v>97910.37</v>
      </c>
    </row>
    <row r="9" spans="1:14" x14ac:dyDescent="0.35">
      <c r="A9" s="4" t="s">
        <v>19</v>
      </c>
      <c r="B9" s="5">
        <v>45658</v>
      </c>
      <c r="C9" s="4" t="s">
        <v>17</v>
      </c>
      <c r="D9" s="4" t="s">
        <v>20</v>
      </c>
      <c r="E9" s="4">
        <v>48412.639999999999</v>
      </c>
      <c r="F9" s="4">
        <v>9545</v>
      </c>
      <c r="G9" s="4">
        <v>0.23100000000000001</v>
      </c>
      <c r="H9" s="4">
        <v>21</v>
      </c>
      <c r="I9" s="4">
        <v>97.6</v>
      </c>
      <c r="J9" s="4">
        <v>6.94</v>
      </c>
      <c r="K9" s="4">
        <v>1</v>
      </c>
      <c r="L9" s="4">
        <v>4.2</v>
      </c>
      <c r="M9" s="4">
        <v>741341.44</v>
      </c>
      <c r="N9" s="4">
        <v>119208.17</v>
      </c>
    </row>
    <row r="10" spans="1:14" x14ac:dyDescent="0.35">
      <c r="A10" s="4" t="s">
        <v>19</v>
      </c>
      <c r="B10" s="5">
        <v>45689</v>
      </c>
      <c r="C10" s="4" t="s">
        <v>17</v>
      </c>
      <c r="D10" s="4" t="s">
        <v>20</v>
      </c>
      <c r="E10" s="4">
        <v>64811.21</v>
      </c>
      <c r="F10" s="4">
        <v>9792</v>
      </c>
      <c r="G10" s="4">
        <v>0.112</v>
      </c>
      <c r="H10" s="4">
        <v>20</v>
      </c>
      <c r="I10" s="4">
        <v>84.2</v>
      </c>
      <c r="J10" s="4">
        <v>2.88</v>
      </c>
      <c r="K10" s="4">
        <v>0</v>
      </c>
      <c r="L10" s="4">
        <v>4.2</v>
      </c>
      <c r="M10" s="4">
        <v>761835.34</v>
      </c>
      <c r="N10" s="4">
        <v>149602.23000000001</v>
      </c>
    </row>
    <row r="11" spans="1:14" x14ac:dyDescent="0.35">
      <c r="A11" s="4" t="s">
        <v>19</v>
      </c>
      <c r="B11" s="5">
        <v>45717</v>
      </c>
      <c r="C11" s="4" t="s">
        <v>17</v>
      </c>
      <c r="D11" s="4" t="s">
        <v>20</v>
      </c>
      <c r="E11" s="4">
        <v>46213.45</v>
      </c>
      <c r="F11" s="4">
        <v>10616</v>
      </c>
      <c r="G11" s="4">
        <v>0.122</v>
      </c>
      <c r="H11" s="4">
        <v>22</v>
      </c>
      <c r="I11" s="4">
        <v>85.2</v>
      </c>
      <c r="J11" s="4">
        <v>0.2</v>
      </c>
      <c r="K11" s="4">
        <v>1</v>
      </c>
      <c r="L11" s="4">
        <v>4.0999999999999996</v>
      </c>
      <c r="M11" s="4">
        <v>806615.54</v>
      </c>
      <c r="N11" s="4">
        <v>131364.62</v>
      </c>
    </row>
    <row r="12" spans="1:14" x14ac:dyDescent="0.35">
      <c r="A12" s="4" t="s">
        <v>19</v>
      </c>
      <c r="B12" s="5">
        <v>45748</v>
      </c>
      <c r="C12" s="4" t="s">
        <v>17</v>
      </c>
      <c r="D12" s="4" t="s">
        <v>20</v>
      </c>
      <c r="E12" s="4">
        <v>68148.52</v>
      </c>
      <c r="F12" s="4">
        <v>8567</v>
      </c>
      <c r="G12" s="4">
        <v>0.127</v>
      </c>
      <c r="H12" s="4">
        <v>23</v>
      </c>
      <c r="I12" s="4">
        <v>95.6</v>
      </c>
      <c r="J12" s="4">
        <v>0.8</v>
      </c>
      <c r="K12" s="4">
        <v>0</v>
      </c>
      <c r="L12" s="4">
        <v>3.9</v>
      </c>
      <c r="M12" s="4">
        <v>850164.26</v>
      </c>
      <c r="N12" s="4">
        <v>149262.75</v>
      </c>
    </row>
    <row r="13" spans="1:14" x14ac:dyDescent="0.35">
      <c r="A13" s="4" t="s">
        <v>21</v>
      </c>
      <c r="B13" s="5">
        <v>45658</v>
      </c>
      <c r="C13" s="4" t="s">
        <v>22</v>
      </c>
      <c r="D13" s="4" t="s">
        <v>23</v>
      </c>
      <c r="E13" s="4">
        <v>71838.86</v>
      </c>
      <c r="F13" s="4">
        <v>10979</v>
      </c>
      <c r="G13" s="4">
        <v>0.215</v>
      </c>
      <c r="H13" s="4">
        <v>26</v>
      </c>
      <c r="I13" s="4">
        <v>88.6</v>
      </c>
      <c r="J13" s="4">
        <v>7.7</v>
      </c>
      <c r="K13" s="4">
        <v>1</v>
      </c>
      <c r="L13" s="4">
        <v>3.8</v>
      </c>
      <c r="M13" s="4">
        <v>930581.7</v>
      </c>
      <c r="N13" s="4">
        <v>136207.98000000001</v>
      </c>
    </row>
    <row r="14" spans="1:14" x14ac:dyDescent="0.35">
      <c r="A14" s="4" t="s">
        <v>21</v>
      </c>
      <c r="B14" s="5">
        <v>45689</v>
      </c>
      <c r="C14" s="4" t="s">
        <v>22</v>
      </c>
      <c r="D14" s="4" t="s">
        <v>23</v>
      </c>
      <c r="E14" s="4">
        <v>68133.440000000002</v>
      </c>
      <c r="F14" s="4">
        <v>9459</v>
      </c>
      <c r="G14" s="4">
        <v>0.22</v>
      </c>
      <c r="H14" s="4">
        <v>21</v>
      </c>
      <c r="I14" s="4">
        <v>85</v>
      </c>
      <c r="J14" s="4">
        <v>1.91</v>
      </c>
      <c r="K14" s="4">
        <v>0</v>
      </c>
      <c r="L14" s="4">
        <v>4.2</v>
      </c>
      <c r="M14" s="4">
        <v>779010.94</v>
      </c>
      <c r="N14" s="4">
        <v>106328.09</v>
      </c>
    </row>
    <row r="15" spans="1:14" x14ac:dyDescent="0.35">
      <c r="A15" s="4" t="s">
        <v>21</v>
      </c>
      <c r="B15" s="5">
        <v>45717</v>
      </c>
      <c r="C15" s="4" t="s">
        <v>22</v>
      </c>
      <c r="D15" s="4" t="s">
        <v>23</v>
      </c>
      <c r="E15" s="4">
        <v>34285.21</v>
      </c>
      <c r="F15" s="4">
        <v>9172</v>
      </c>
      <c r="G15" s="4">
        <v>0.21299999999999999</v>
      </c>
      <c r="H15" s="4">
        <v>22</v>
      </c>
      <c r="I15" s="4">
        <v>88.3</v>
      </c>
      <c r="J15" s="4">
        <v>10.46</v>
      </c>
      <c r="K15" s="4">
        <v>1</v>
      </c>
      <c r="L15" s="4">
        <v>3.8</v>
      </c>
      <c r="M15" s="4">
        <v>723060.76</v>
      </c>
      <c r="N15" s="4">
        <v>123131.24</v>
      </c>
    </row>
    <row r="16" spans="1:14" x14ac:dyDescent="0.35">
      <c r="A16" s="4" t="s">
        <v>21</v>
      </c>
      <c r="B16" s="5">
        <v>45748</v>
      </c>
      <c r="C16" s="4" t="s">
        <v>22</v>
      </c>
      <c r="D16" s="4" t="s">
        <v>23</v>
      </c>
      <c r="E16" s="4">
        <v>67979.88</v>
      </c>
      <c r="F16" s="4">
        <v>11230</v>
      </c>
      <c r="G16" s="4">
        <v>2E-3</v>
      </c>
      <c r="H16" s="4">
        <v>28</v>
      </c>
      <c r="I16" s="4">
        <v>85.3</v>
      </c>
      <c r="J16" s="4">
        <v>7.16</v>
      </c>
      <c r="K16" s="4">
        <v>0</v>
      </c>
      <c r="L16" s="4">
        <v>3.8</v>
      </c>
      <c r="M16" s="4">
        <v>910791.94</v>
      </c>
      <c r="N16" s="4">
        <v>158891.28</v>
      </c>
    </row>
    <row r="17" spans="1:14" x14ac:dyDescent="0.35">
      <c r="A17" s="4" t="s">
        <v>24</v>
      </c>
      <c r="B17" s="5">
        <v>45658</v>
      </c>
      <c r="C17" s="4" t="s">
        <v>17</v>
      </c>
      <c r="D17" s="4" t="s">
        <v>18</v>
      </c>
      <c r="E17" s="4">
        <v>71828.259999999995</v>
      </c>
      <c r="F17" s="4">
        <v>12775</v>
      </c>
      <c r="G17" s="4">
        <v>0.11600000000000001</v>
      </c>
      <c r="H17" s="4">
        <v>30</v>
      </c>
      <c r="I17" s="4">
        <v>81.7</v>
      </c>
      <c r="J17" s="4">
        <v>4.24</v>
      </c>
      <c r="K17" s="4">
        <v>1</v>
      </c>
      <c r="L17" s="4">
        <v>4.2</v>
      </c>
      <c r="M17" s="4">
        <v>922168.6</v>
      </c>
      <c r="N17" s="4">
        <v>107494.53</v>
      </c>
    </row>
    <row r="18" spans="1:14" x14ac:dyDescent="0.35">
      <c r="A18" s="4" t="s">
        <v>24</v>
      </c>
      <c r="B18" s="5">
        <v>45689</v>
      </c>
      <c r="C18" s="4" t="s">
        <v>17</v>
      </c>
      <c r="D18" s="4" t="s">
        <v>18</v>
      </c>
      <c r="E18" s="4">
        <v>55716.82</v>
      </c>
      <c r="F18" s="4">
        <v>10054</v>
      </c>
      <c r="G18" s="4">
        <v>0.14599999999999999</v>
      </c>
      <c r="H18" s="4">
        <v>24</v>
      </c>
      <c r="I18" s="4">
        <v>84.9</v>
      </c>
      <c r="J18" s="4">
        <v>1.06</v>
      </c>
      <c r="K18" s="4">
        <v>0</v>
      </c>
      <c r="L18" s="4">
        <v>4.3</v>
      </c>
      <c r="M18" s="4">
        <v>726606.28</v>
      </c>
      <c r="N18" s="4">
        <v>122729.29</v>
      </c>
    </row>
    <row r="19" spans="1:14" x14ac:dyDescent="0.35">
      <c r="A19" s="4" t="s">
        <v>24</v>
      </c>
      <c r="B19" s="5">
        <v>45717</v>
      </c>
      <c r="C19" s="4" t="s">
        <v>17</v>
      </c>
      <c r="D19" s="4" t="s">
        <v>18</v>
      </c>
      <c r="E19" s="4">
        <v>59909.51</v>
      </c>
      <c r="F19" s="4">
        <v>8895</v>
      </c>
      <c r="G19" s="4">
        <v>0.22800000000000001</v>
      </c>
      <c r="H19" s="4">
        <v>23</v>
      </c>
      <c r="I19" s="4">
        <v>88.8</v>
      </c>
      <c r="J19" s="4">
        <v>0.27</v>
      </c>
      <c r="K19" s="4">
        <v>0</v>
      </c>
      <c r="L19" s="4">
        <v>4.3</v>
      </c>
      <c r="M19" s="4">
        <v>746501.09</v>
      </c>
      <c r="N19" s="4">
        <v>136816.72</v>
      </c>
    </row>
    <row r="20" spans="1:14" x14ac:dyDescent="0.35">
      <c r="A20" s="4" t="s">
        <v>24</v>
      </c>
      <c r="B20" s="5">
        <v>45748</v>
      </c>
      <c r="C20" s="4" t="s">
        <v>17</v>
      </c>
      <c r="D20" s="4" t="s">
        <v>18</v>
      </c>
      <c r="E20" s="4">
        <v>75305.710000000006</v>
      </c>
      <c r="F20" s="4">
        <v>10940</v>
      </c>
      <c r="G20" s="4">
        <v>6.0000000000000001E-3</v>
      </c>
      <c r="H20" s="4">
        <v>26</v>
      </c>
      <c r="I20" s="4">
        <v>76.5</v>
      </c>
      <c r="J20" s="4">
        <v>1.32</v>
      </c>
      <c r="K20" s="4">
        <v>0</v>
      </c>
      <c r="L20" s="4">
        <v>4.5</v>
      </c>
      <c r="M20" s="4">
        <v>834017.02</v>
      </c>
      <c r="N20" s="4">
        <v>114745.03</v>
      </c>
    </row>
    <row r="21" spans="1:14" x14ac:dyDescent="0.35">
      <c r="A21" s="4" t="s">
        <v>25</v>
      </c>
      <c r="B21" s="5">
        <v>45658</v>
      </c>
      <c r="C21" s="4" t="s">
        <v>26</v>
      </c>
      <c r="D21" s="4" t="s">
        <v>18</v>
      </c>
      <c r="E21" s="4">
        <v>48804.22</v>
      </c>
      <c r="F21" s="4">
        <v>7057</v>
      </c>
      <c r="G21" s="4">
        <v>5.0000000000000001E-3</v>
      </c>
      <c r="H21" s="4">
        <v>15</v>
      </c>
      <c r="I21" s="4">
        <v>87.7</v>
      </c>
      <c r="J21" s="4">
        <v>1.22</v>
      </c>
      <c r="K21" s="4">
        <v>0</v>
      </c>
      <c r="L21" s="4">
        <v>3.7</v>
      </c>
      <c r="M21" s="4">
        <v>666152.52</v>
      </c>
      <c r="N21" s="4">
        <v>107490.58</v>
      </c>
    </row>
    <row r="22" spans="1:14" x14ac:dyDescent="0.35">
      <c r="A22" s="4" t="s">
        <v>25</v>
      </c>
      <c r="B22" s="5">
        <v>45689</v>
      </c>
      <c r="C22" s="4" t="s">
        <v>26</v>
      </c>
      <c r="D22" s="4" t="s">
        <v>18</v>
      </c>
      <c r="E22" s="4">
        <v>59117.9</v>
      </c>
      <c r="F22" s="4">
        <v>4263</v>
      </c>
      <c r="G22" s="4">
        <v>0.11899999999999999</v>
      </c>
      <c r="H22" s="4">
        <v>9</v>
      </c>
      <c r="I22" s="4">
        <v>87.6</v>
      </c>
      <c r="J22" s="4">
        <v>4.01</v>
      </c>
      <c r="K22" s="4">
        <v>0</v>
      </c>
      <c r="L22" s="4">
        <v>3.6</v>
      </c>
      <c r="M22" s="4">
        <v>573155.18999999994</v>
      </c>
      <c r="N22" s="4">
        <v>83680.75</v>
      </c>
    </row>
    <row r="23" spans="1:14" x14ac:dyDescent="0.35">
      <c r="A23" s="4" t="s">
        <v>25</v>
      </c>
      <c r="B23" s="5">
        <v>45717</v>
      </c>
      <c r="C23" s="4" t="s">
        <v>26</v>
      </c>
      <c r="D23" s="4" t="s">
        <v>18</v>
      </c>
      <c r="E23" s="4">
        <v>78831.12</v>
      </c>
      <c r="F23" s="4">
        <v>5538</v>
      </c>
      <c r="G23" s="4">
        <v>0</v>
      </c>
      <c r="H23" s="4">
        <v>15</v>
      </c>
      <c r="I23" s="4">
        <v>94.1</v>
      </c>
      <c r="J23" s="4">
        <v>0.2</v>
      </c>
      <c r="K23" s="4">
        <v>0</v>
      </c>
      <c r="L23" s="4">
        <v>3.9</v>
      </c>
      <c r="M23" s="4">
        <v>666573.19999999995</v>
      </c>
      <c r="N23" s="4">
        <v>140641.01999999999</v>
      </c>
    </row>
    <row r="24" spans="1:14" x14ac:dyDescent="0.35">
      <c r="A24" s="4" t="s">
        <v>25</v>
      </c>
      <c r="B24" s="5">
        <v>45748</v>
      </c>
      <c r="C24" s="4" t="s">
        <v>26</v>
      </c>
      <c r="D24" s="4" t="s">
        <v>18</v>
      </c>
      <c r="E24" s="4">
        <v>41441.93</v>
      </c>
      <c r="F24" s="4">
        <v>4865</v>
      </c>
      <c r="G24" s="4">
        <v>0.158</v>
      </c>
      <c r="H24" s="4">
        <v>16</v>
      </c>
      <c r="I24" s="4">
        <v>88.3</v>
      </c>
      <c r="J24" s="4">
        <v>0.5</v>
      </c>
      <c r="K24" s="4">
        <v>0</v>
      </c>
      <c r="L24" s="4">
        <v>4</v>
      </c>
      <c r="M24" s="4">
        <v>591619.94999999995</v>
      </c>
      <c r="N24" s="4">
        <v>99521.35</v>
      </c>
    </row>
    <row r="25" spans="1:14" x14ac:dyDescent="0.35">
      <c r="A25" s="4" t="s">
        <v>27</v>
      </c>
      <c r="B25" s="5">
        <v>45658</v>
      </c>
      <c r="C25" s="4" t="s">
        <v>22</v>
      </c>
      <c r="D25" s="4" t="s">
        <v>18</v>
      </c>
      <c r="E25" s="4">
        <v>30356.28</v>
      </c>
      <c r="F25" s="4">
        <v>2822</v>
      </c>
      <c r="G25" s="4">
        <v>0.23100000000000001</v>
      </c>
      <c r="H25" s="4">
        <v>9</v>
      </c>
      <c r="I25" s="4">
        <v>84.8</v>
      </c>
      <c r="J25" s="4">
        <v>6.95</v>
      </c>
      <c r="K25" s="4">
        <v>0</v>
      </c>
      <c r="L25" s="4">
        <v>5</v>
      </c>
      <c r="M25" s="4">
        <v>415721.82</v>
      </c>
      <c r="N25" s="4">
        <v>61179.15</v>
      </c>
    </row>
    <row r="26" spans="1:14" x14ac:dyDescent="0.35">
      <c r="A26" s="4" t="s">
        <v>27</v>
      </c>
      <c r="B26" s="5">
        <v>45689</v>
      </c>
      <c r="C26" s="4" t="s">
        <v>22</v>
      </c>
      <c r="D26" s="4" t="s">
        <v>18</v>
      </c>
      <c r="E26" s="4">
        <v>33518.879999999997</v>
      </c>
      <c r="F26" s="4">
        <v>2121</v>
      </c>
      <c r="G26" s="4">
        <v>0.17599999999999999</v>
      </c>
      <c r="H26" s="4">
        <v>8</v>
      </c>
      <c r="I26" s="4">
        <v>88.5</v>
      </c>
      <c r="J26" s="4">
        <v>0.2</v>
      </c>
      <c r="K26" s="4">
        <v>0</v>
      </c>
      <c r="L26" s="4">
        <v>5</v>
      </c>
      <c r="M26" s="4">
        <v>491905.13</v>
      </c>
      <c r="N26" s="4">
        <v>79212.259999999995</v>
      </c>
    </row>
    <row r="27" spans="1:14" x14ac:dyDescent="0.35">
      <c r="A27" s="4" t="s">
        <v>27</v>
      </c>
      <c r="B27" s="5">
        <v>45717</v>
      </c>
      <c r="C27" s="4" t="s">
        <v>22</v>
      </c>
      <c r="D27" s="4" t="s">
        <v>18</v>
      </c>
      <c r="E27" s="4">
        <v>42267.37</v>
      </c>
      <c r="F27" s="4">
        <v>3364</v>
      </c>
      <c r="G27" s="4">
        <v>0.16</v>
      </c>
      <c r="H27" s="4">
        <v>13</v>
      </c>
      <c r="I27" s="4">
        <v>82</v>
      </c>
      <c r="J27" s="4">
        <v>1.61</v>
      </c>
      <c r="K27" s="4">
        <v>1</v>
      </c>
      <c r="L27" s="4">
        <v>4.5999999999999996</v>
      </c>
      <c r="M27" s="4">
        <v>555929.4</v>
      </c>
      <c r="N27" s="4">
        <v>115201.76</v>
      </c>
    </row>
    <row r="28" spans="1:14" x14ac:dyDescent="0.35">
      <c r="A28" s="4" t="s">
        <v>27</v>
      </c>
      <c r="B28" s="5">
        <v>45748</v>
      </c>
      <c r="C28" s="4" t="s">
        <v>22</v>
      </c>
      <c r="D28" s="4" t="s">
        <v>18</v>
      </c>
      <c r="E28" s="4">
        <v>62060.43</v>
      </c>
      <c r="F28" s="4">
        <v>2613</v>
      </c>
      <c r="G28" s="4">
        <v>0.216</v>
      </c>
      <c r="H28" s="4">
        <v>12</v>
      </c>
      <c r="I28" s="4">
        <v>92.1</v>
      </c>
      <c r="J28" s="4">
        <v>1.55</v>
      </c>
      <c r="K28" s="4">
        <v>0</v>
      </c>
      <c r="L28" s="4">
        <v>4.7</v>
      </c>
      <c r="M28" s="4">
        <v>565810.99</v>
      </c>
      <c r="N28" s="4">
        <v>77825.460000000006</v>
      </c>
    </row>
    <row r="29" spans="1:14" x14ac:dyDescent="0.35">
      <c r="A29" s="4" t="s">
        <v>28</v>
      </c>
      <c r="B29" s="5">
        <v>45658</v>
      </c>
      <c r="C29" s="4" t="s">
        <v>29</v>
      </c>
      <c r="D29" s="4" t="s">
        <v>30</v>
      </c>
      <c r="E29" s="4">
        <v>57696.69</v>
      </c>
      <c r="F29" s="4">
        <v>10218</v>
      </c>
      <c r="G29" s="4">
        <v>0.121</v>
      </c>
      <c r="H29" s="4">
        <v>25</v>
      </c>
      <c r="I29" s="4">
        <v>94.8</v>
      </c>
      <c r="J29" s="4">
        <v>2.99</v>
      </c>
      <c r="K29" s="4">
        <v>0</v>
      </c>
      <c r="L29" s="4">
        <v>3.5</v>
      </c>
      <c r="M29" s="4">
        <v>811771.14</v>
      </c>
      <c r="N29" s="4">
        <v>148756.24</v>
      </c>
    </row>
    <row r="30" spans="1:14" x14ac:dyDescent="0.35">
      <c r="A30" s="4" t="s">
        <v>28</v>
      </c>
      <c r="B30" s="5">
        <v>45689</v>
      </c>
      <c r="C30" s="4" t="s">
        <v>29</v>
      </c>
      <c r="D30" s="4" t="s">
        <v>30</v>
      </c>
      <c r="E30" s="4">
        <v>172415.52</v>
      </c>
      <c r="F30" s="4">
        <v>8927</v>
      </c>
      <c r="G30" s="4">
        <v>0.14000000000000001</v>
      </c>
      <c r="H30" s="4">
        <v>22</v>
      </c>
      <c r="I30" s="4">
        <v>86.2</v>
      </c>
      <c r="J30" s="4">
        <v>7.04</v>
      </c>
      <c r="K30" s="4">
        <v>0</v>
      </c>
      <c r="L30" s="4">
        <v>3.9</v>
      </c>
      <c r="M30" s="4">
        <v>800451.94</v>
      </c>
      <c r="N30" s="4">
        <v>111572.29</v>
      </c>
    </row>
    <row r="31" spans="1:14" x14ac:dyDescent="0.35">
      <c r="A31" s="4" t="s">
        <v>28</v>
      </c>
      <c r="B31" s="5">
        <v>45717</v>
      </c>
      <c r="C31" s="4" t="s">
        <v>29</v>
      </c>
      <c r="D31" s="4" t="s">
        <v>30</v>
      </c>
      <c r="E31" s="4">
        <v>55270.52</v>
      </c>
      <c r="F31" s="4">
        <v>9315</v>
      </c>
      <c r="G31" s="4">
        <v>0.16900000000000001</v>
      </c>
      <c r="H31" s="4">
        <v>23</v>
      </c>
      <c r="I31" s="4">
        <v>91.9</v>
      </c>
      <c r="J31" s="4">
        <v>4.9400000000000004</v>
      </c>
      <c r="K31" s="4">
        <v>0</v>
      </c>
      <c r="L31" s="4">
        <v>4</v>
      </c>
      <c r="M31" s="4">
        <v>783672.82</v>
      </c>
      <c r="N31" s="4">
        <v>112577.14</v>
      </c>
    </row>
    <row r="32" spans="1:14" x14ac:dyDescent="0.35">
      <c r="A32" s="4" t="s">
        <v>28</v>
      </c>
      <c r="B32" s="5">
        <v>45748</v>
      </c>
      <c r="C32" s="4" t="s">
        <v>29</v>
      </c>
      <c r="D32" s="4" t="s">
        <v>30</v>
      </c>
      <c r="E32" s="4">
        <v>52715.1</v>
      </c>
      <c r="F32" s="4">
        <v>7223</v>
      </c>
      <c r="G32" s="4">
        <v>0.122</v>
      </c>
      <c r="H32" s="4">
        <v>16</v>
      </c>
      <c r="I32" s="4">
        <v>84.2</v>
      </c>
      <c r="J32" s="4">
        <v>16.149999999999999</v>
      </c>
      <c r="K32" s="4">
        <v>0</v>
      </c>
      <c r="L32" s="4">
        <v>3.7</v>
      </c>
      <c r="M32" s="4">
        <v>701641.97</v>
      </c>
      <c r="N32" s="4">
        <v>106111.86</v>
      </c>
    </row>
    <row r="33" spans="1:14" x14ac:dyDescent="0.35">
      <c r="A33" s="4" t="s">
        <v>31</v>
      </c>
      <c r="B33" s="5">
        <v>45658</v>
      </c>
      <c r="C33" s="4" t="s">
        <v>17</v>
      </c>
      <c r="D33" s="4" t="s">
        <v>18</v>
      </c>
      <c r="E33" s="4">
        <v>68600.62</v>
      </c>
      <c r="F33" s="4">
        <v>3988</v>
      </c>
      <c r="G33" s="4">
        <v>0.124</v>
      </c>
      <c r="H33" s="4">
        <v>11</v>
      </c>
      <c r="I33" s="4">
        <v>85</v>
      </c>
      <c r="J33" s="4">
        <v>0.48</v>
      </c>
      <c r="K33" s="4">
        <v>0</v>
      </c>
      <c r="L33" s="4">
        <v>3.6</v>
      </c>
      <c r="M33" s="4">
        <v>511844.41</v>
      </c>
      <c r="N33" s="4">
        <v>72774.44</v>
      </c>
    </row>
    <row r="34" spans="1:14" x14ac:dyDescent="0.35">
      <c r="A34" s="4" t="s">
        <v>31</v>
      </c>
      <c r="B34" s="5">
        <v>45689</v>
      </c>
      <c r="C34" s="4" t="s">
        <v>17</v>
      </c>
      <c r="D34" s="4" t="s">
        <v>18</v>
      </c>
      <c r="E34" s="4">
        <v>63176.73</v>
      </c>
      <c r="F34" s="4">
        <v>2390</v>
      </c>
      <c r="G34" s="4">
        <v>0.216</v>
      </c>
      <c r="H34" s="4">
        <v>9</v>
      </c>
      <c r="I34" s="4">
        <v>87.5</v>
      </c>
      <c r="J34" s="4">
        <v>0.31</v>
      </c>
      <c r="K34" s="4">
        <v>0</v>
      </c>
      <c r="L34" s="4">
        <v>3.1</v>
      </c>
      <c r="M34" s="4">
        <v>537383.79</v>
      </c>
      <c r="N34" s="4">
        <v>63773.27</v>
      </c>
    </row>
    <row r="35" spans="1:14" x14ac:dyDescent="0.35">
      <c r="A35" s="4" t="s">
        <v>31</v>
      </c>
      <c r="B35" s="5">
        <v>45717</v>
      </c>
      <c r="C35" s="4" t="s">
        <v>17</v>
      </c>
      <c r="D35" s="4" t="s">
        <v>18</v>
      </c>
      <c r="E35" s="4">
        <v>44970.080000000002</v>
      </c>
      <c r="F35" s="4">
        <v>2471</v>
      </c>
      <c r="G35" s="4">
        <v>0.13600000000000001</v>
      </c>
      <c r="H35" s="4">
        <v>11</v>
      </c>
      <c r="I35" s="4">
        <v>87.6</v>
      </c>
      <c r="J35" s="4">
        <v>3.01</v>
      </c>
      <c r="K35" s="4">
        <v>1</v>
      </c>
      <c r="L35" s="4">
        <v>3.7</v>
      </c>
      <c r="M35" s="4">
        <v>500173.02</v>
      </c>
      <c r="N35" s="4">
        <v>70982.05</v>
      </c>
    </row>
    <row r="36" spans="1:14" x14ac:dyDescent="0.35">
      <c r="A36" s="4" t="s">
        <v>31</v>
      </c>
      <c r="B36" s="5">
        <v>45748</v>
      </c>
      <c r="C36" s="4" t="s">
        <v>17</v>
      </c>
      <c r="D36" s="4" t="s">
        <v>18</v>
      </c>
      <c r="E36" s="4">
        <v>69816.350000000006</v>
      </c>
      <c r="F36" s="4">
        <v>971</v>
      </c>
      <c r="G36" s="4">
        <v>0.16800000000000001</v>
      </c>
      <c r="H36" s="4">
        <v>5</v>
      </c>
      <c r="I36" s="4">
        <v>89.9</v>
      </c>
      <c r="J36" s="4">
        <v>12.15</v>
      </c>
      <c r="K36" s="4">
        <v>0</v>
      </c>
      <c r="L36" s="4">
        <v>3.6</v>
      </c>
      <c r="M36" s="4">
        <v>427917.38</v>
      </c>
      <c r="N36" s="4">
        <v>81824.31</v>
      </c>
    </row>
    <row r="37" spans="1:14" x14ac:dyDescent="0.35">
      <c r="A37" s="4" t="s">
        <v>32</v>
      </c>
      <c r="B37" s="5">
        <v>45658</v>
      </c>
      <c r="C37" s="4" t="s">
        <v>22</v>
      </c>
      <c r="D37" s="4" t="s">
        <v>18</v>
      </c>
      <c r="E37" s="4">
        <v>54597.83</v>
      </c>
      <c r="F37" s="4">
        <v>9429</v>
      </c>
      <c r="G37" s="4">
        <v>0.188</v>
      </c>
      <c r="H37" s="4">
        <v>21</v>
      </c>
      <c r="I37" s="4">
        <v>83.3</v>
      </c>
      <c r="J37" s="4">
        <v>11.71</v>
      </c>
      <c r="K37" s="4">
        <v>0</v>
      </c>
      <c r="L37" s="4">
        <v>4.2</v>
      </c>
      <c r="M37" s="4">
        <v>641865.03</v>
      </c>
      <c r="N37" s="4">
        <v>81342.58</v>
      </c>
    </row>
    <row r="38" spans="1:14" x14ac:dyDescent="0.35">
      <c r="A38" s="4" t="s">
        <v>32</v>
      </c>
      <c r="B38" s="5">
        <v>45689</v>
      </c>
      <c r="C38" s="4" t="s">
        <v>22</v>
      </c>
      <c r="D38" s="4" t="s">
        <v>18</v>
      </c>
      <c r="E38" s="4">
        <v>73771.91</v>
      </c>
      <c r="F38" s="4">
        <v>11695</v>
      </c>
      <c r="G38" s="4">
        <v>7.0000000000000007E-2</v>
      </c>
      <c r="H38" s="4">
        <v>25</v>
      </c>
      <c r="I38" s="4">
        <v>84.7</v>
      </c>
      <c r="J38" s="4">
        <v>0.62</v>
      </c>
      <c r="K38" s="4">
        <v>0</v>
      </c>
      <c r="L38" s="4"/>
      <c r="M38" s="4">
        <v>799477.76000000001</v>
      </c>
      <c r="N38" s="4">
        <v>164974.41</v>
      </c>
    </row>
    <row r="39" spans="1:14" x14ac:dyDescent="0.35">
      <c r="A39" s="4" t="s">
        <v>32</v>
      </c>
      <c r="B39" s="5">
        <v>45717</v>
      </c>
      <c r="C39" s="4" t="s">
        <v>22</v>
      </c>
      <c r="D39" s="4" t="s">
        <v>18</v>
      </c>
      <c r="E39" s="4">
        <v>74413.88</v>
      </c>
      <c r="F39" s="4">
        <v>9449</v>
      </c>
      <c r="G39" s="4">
        <v>3.9E-2</v>
      </c>
      <c r="H39" s="4">
        <v>23</v>
      </c>
      <c r="I39" s="4">
        <v>92.1</v>
      </c>
      <c r="J39" s="4">
        <v>2.12</v>
      </c>
      <c r="K39" s="4">
        <v>0</v>
      </c>
      <c r="L39" s="4">
        <v>3.5</v>
      </c>
      <c r="M39" s="4">
        <v>798952.17</v>
      </c>
      <c r="N39" s="4">
        <v>161499.04</v>
      </c>
    </row>
    <row r="40" spans="1:14" x14ac:dyDescent="0.35">
      <c r="A40" s="4" t="s">
        <v>32</v>
      </c>
      <c r="B40" s="5">
        <v>45748</v>
      </c>
      <c r="C40" s="4" t="s">
        <v>22</v>
      </c>
      <c r="D40" s="4" t="s">
        <v>18</v>
      </c>
      <c r="E40" s="4">
        <v>52483.77</v>
      </c>
      <c r="F40" s="4">
        <v>10453</v>
      </c>
      <c r="G40" s="4">
        <v>0.247</v>
      </c>
      <c r="H40" s="4">
        <v>25</v>
      </c>
      <c r="I40" s="4">
        <v>99</v>
      </c>
      <c r="J40" s="4">
        <v>6.31</v>
      </c>
      <c r="K40" s="4">
        <v>0</v>
      </c>
      <c r="L40" s="4">
        <v>3.6</v>
      </c>
      <c r="M40" s="4">
        <v>800979.78</v>
      </c>
      <c r="N40" s="4">
        <v>149242.26999999999</v>
      </c>
    </row>
    <row r="41" spans="1:14" x14ac:dyDescent="0.35">
      <c r="A41" s="4" t="s">
        <v>33</v>
      </c>
      <c r="B41" s="5">
        <v>45658</v>
      </c>
      <c r="C41" s="4" t="s">
        <v>22</v>
      </c>
      <c r="D41" s="4" t="s">
        <v>30</v>
      </c>
      <c r="E41" s="4">
        <v>75269.87</v>
      </c>
      <c r="F41" s="4">
        <v>8838</v>
      </c>
      <c r="G41" s="4">
        <v>9.1999999999999998E-2</v>
      </c>
      <c r="H41" s="4">
        <v>21</v>
      </c>
      <c r="I41" s="4">
        <v>83.1</v>
      </c>
      <c r="J41" s="4">
        <v>9.56</v>
      </c>
      <c r="K41" s="4">
        <v>1</v>
      </c>
      <c r="L41" s="4">
        <v>4.2</v>
      </c>
      <c r="M41" s="4">
        <v>820593.93</v>
      </c>
      <c r="N41" s="4">
        <v>115860.06</v>
      </c>
    </row>
    <row r="42" spans="1:14" x14ac:dyDescent="0.35">
      <c r="A42" s="4" t="s">
        <v>33</v>
      </c>
      <c r="B42" s="5">
        <v>45689</v>
      </c>
      <c r="C42" s="4" t="s">
        <v>22</v>
      </c>
      <c r="D42" s="4" t="s">
        <v>30</v>
      </c>
      <c r="E42" s="4">
        <v>61245.41</v>
      </c>
      <c r="F42" s="4">
        <v>8156</v>
      </c>
      <c r="G42" s="4">
        <v>0.156</v>
      </c>
      <c r="H42" s="4">
        <v>19</v>
      </c>
      <c r="I42" s="4">
        <v>92.9</v>
      </c>
      <c r="J42" s="4">
        <v>9.0500000000000007</v>
      </c>
      <c r="K42" s="4">
        <v>0</v>
      </c>
      <c r="L42" s="4">
        <v>3.8</v>
      </c>
      <c r="M42" s="4">
        <v>718330.53</v>
      </c>
      <c r="N42" s="4">
        <v>93247.9</v>
      </c>
    </row>
    <row r="43" spans="1:14" x14ac:dyDescent="0.35">
      <c r="A43" s="4" t="s">
        <v>33</v>
      </c>
      <c r="B43" s="5">
        <v>45717</v>
      </c>
      <c r="C43" s="4" t="s">
        <v>22</v>
      </c>
      <c r="D43" s="4" t="s">
        <v>30</v>
      </c>
      <c r="E43" s="4">
        <v>93381.26</v>
      </c>
      <c r="F43" s="4">
        <v>7562</v>
      </c>
      <c r="G43" s="4">
        <v>0.19800000000000001</v>
      </c>
      <c r="H43" s="4">
        <v>19</v>
      </c>
      <c r="I43" s="4">
        <v>82.9</v>
      </c>
      <c r="J43" s="4">
        <v>5.05</v>
      </c>
      <c r="K43" s="4">
        <v>0</v>
      </c>
      <c r="L43" s="4">
        <v>4</v>
      </c>
      <c r="M43" s="4">
        <v>736633.4</v>
      </c>
      <c r="N43" s="4">
        <v>115654.66</v>
      </c>
    </row>
    <row r="44" spans="1:14" x14ac:dyDescent="0.35">
      <c r="A44" s="4" t="s">
        <v>33</v>
      </c>
      <c r="B44" s="5">
        <v>45748</v>
      </c>
      <c r="C44" s="4" t="s">
        <v>22</v>
      </c>
      <c r="D44" s="4" t="s">
        <v>30</v>
      </c>
      <c r="E44" s="4">
        <v>65012.19</v>
      </c>
      <c r="F44" s="4">
        <v>9598</v>
      </c>
      <c r="G44" s="4">
        <v>8.5000000000000006E-2</v>
      </c>
      <c r="H44" s="4">
        <v>24</v>
      </c>
      <c r="I44" s="4">
        <v>98.3</v>
      </c>
      <c r="J44" s="4">
        <v>0.89</v>
      </c>
      <c r="K44" s="4">
        <v>0</v>
      </c>
      <c r="L44" s="4">
        <v>3.8</v>
      </c>
      <c r="M44" s="4">
        <v>828623.85</v>
      </c>
      <c r="N44" s="4">
        <v>167320.51999999999</v>
      </c>
    </row>
    <row r="45" spans="1:14" x14ac:dyDescent="0.35">
      <c r="A45" s="4" t="s">
        <v>34</v>
      </c>
      <c r="B45" s="5">
        <v>45658</v>
      </c>
      <c r="C45" s="4" t="s">
        <v>17</v>
      </c>
      <c r="D45" s="4" t="s">
        <v>30</v>
      </c>
      <c r="E45" s="4">
        <v>40462.94</v>
      </c>
      <c r="F45" s="4">
        <v>3660</v>
      </c>
      <c r="G45" s="4">
        <v>0.218</v>
      </c>
      <c r="H45" s="4">
        <v>11</v>
      </c>
      <c r="I45" s="4">
        <v>95.2</v>
      </c>
      <c r="J45" s="4">
        <v>5.57</v>
      </c>
      <c r="K45" s="4">
        <v>0</v>
      </c>
      <c r="L45" s="4">
        <v>4.4000000000000004</v>
      </c>
      <c r="M45" s="4">
        <v>592195.85</v>
      </c>
      <c r="N45" s="4">
        <v>92291.56</v>
      </c>
    </row>
    <row r="46" spans="1:14" x14ac:dyDescent="0.35">
      <c r="A46" s="4" t="s">
        <v>34</v>
      </c>
      <c r="B46" s="5">
        <v>45689</v>
      </c>
      <c r="C46" s="4" t="s">
        <v>17</v>
      </c>
      <c r="D46" s="4" t="s">
        <v>30</v>
      </c>
      <c r="E46" s="4">
        <v>46123.88</v>
      </c>
      <c r="F46" s="4">
        <v>3227</v>
      </c>
      <c r="G46" s="4">
        <v>0.14299999999999999</v>
      </c>
      <c r="H46" s="4">
        <v>10</v>
      </c>
      <c r="I46" s="4">
        <v>75.400000000000006</v>
      </c>
      <c r="J46" s="4">
        <v>1.06</v>
      </c>
      <c r="K46" s="4">
        <v>0</v>
      </c>
      <c r="L46" s="4">
        <v>4.4000000000000004</v>
      </c>
      <c r="M46" s="4">
        <v>532644.46</v>
      </c>
      <c r="N46" s="4">
        <v>60681.32</v>
      </c>
    </row>
    <row r="47" spans="1:14" x14ac:dyDescent="0.35">
      <c r="A47" s="4" t="s">
        <v>34</v>
      </c>
      <c r="B47" s="5">
        <v>45717</v>
      </c>
      <c r="C47" s="4" t="s">
        <v>17</v>
      </c>
      <c r="D47" s="4" t="s">
        <v>30</v>
      </c>
      <c r="E47" s="4">
        <v>68077.539999999994</v>
      </c>
      <c r="F47" s="4">
        <v>3360</v>
      </c>
      <c r="G47" s="4">
        <v>0.128</v>
      </c>
      <c r="H47" s="4">
        <v>14</v>
      </c>
      <c r="I47" s="4">
        <v>88.2</v>
      </c>
      <c r="J47" s="4">
        <v>1.24</v>
      </c>
      <c r="K47" s="4">
        <v>1</v>
      </c>
      <c r="L47" s="4">
        <v>4</v>
      </c>
      <c r="M47" s="4">
        <v>657429.18000000005</v>
      </c>
      <c r="N47" s="4">
        <v>88919.74</v>
      </c>
    </row>
    <row r="48" spans="1:14" x14ac:dyDescent="0.35">
      <c r="A48" s="4" t="s">
        <v>34</v>
      </c>
      <c r="B48" s="5">
        <v>45748</v>
      </c>
      <c r="C48" s="4" t="s">
        <v>17</v>
      </c>
      <c r="D48" s="4" t="s">
        <v>30</v>
      </c>
      <c r="E48" s="4">
        <v>64882.14</v>
      </c>
      <c r="F48" s="4">
        <v>3642</v>
      </c>
      <c r="G48" s="4">
        <v>1.9E-2</v>
      </c>
      <c r="H48" s="4">
        <v>13</v>
      </c>
      <c r="I48" s="4">
        <v>87.8</v>
      </c>
      <c r="J48" s="4">
        <v>4.5199999999999996</v>
      </c>
      <c r="K48" s="4">
        <v>0</v>
      </c>
      <c r="L48" s="4">
        <v>4.2</v>
      </c>
      <c r="M48" s="4">
        <v>605178</v>
      </c>
      <c r="N48" s="4">
        <v>106958.74</v>
      </c>
    </row>
    <row r="49" spans="1:14" x14ac:dyDescent="0.35">
      <c r="A49" s="4" t="s">
        <v>35</v>
      </c>
      <c r="B49" s="5">
        <v>45658</v>
      </c>
      <c r="C49" s="4" t="s">
        <v>29</v>
      </c>
      <c r="D49" s="4" t="s">
        <v>18</v>
      </c>
      <c r="E49" s="4">
        <v>138855.51</v>
      </c>
      <c r="F49" s="4">
        <v>5145</v>
      </c>
      <c r="G49" s="4">
        <v>0.06</v>
      </c>
      <c r="H49" s="4">
        <v>17</v>
      </c>
      <c r="I49" s="4">
        <v>88.2</v>
      </c>
      <c r="J49" s="4">
        <v>9.58</v>
      </c>
      <c r="K49" s="4">
        <v>0</v>
      </c>
      <c r="L49" s="4">
        <v>3.2</v>
      </c>
      <c r="M49" s="4">
        <v>595467.6</v>
      </c>
      <c r="N49" s="4">
        <v>104276.46</v>
      </c>
    </row>
    <row r="50" spans="1:14" x14ac:dyDescent="0.35">
      <c r="A50" s="4" t="s">
        <v>35</v>
      </c>
      <c r="B50" s="5">
        <v>45689</v>
      </c>
      <c r="C50" s="4" t="s">
        <v>29</v>
      </c>
      <c r="D50" s="4" t="s">
        <v>18</v>
      </c>
      <c r="E50" s="4">
        <v>63630.21</v>
      </c>
      <c r="F50" s="4">
        <v>4460</v>
      </c>
      <c r="G50" s="4">
        <v>0.23499999999999999</v>
      </c>
      <c r="H50" s="4">
        <v>14</v>
      </c>
      <c r="I50" s="4">
        <v>98.6</v>
      </c>
      <c r="J50" s="4">
        <v>5.52</v>
      </c>
      <c r="K50" s="4">
        <v>0</v>
      </c>
      <c r="L50" s="4">
        <v>3.5</v>
      </c>
      <c r="M50" s="4">
        <v>599603.4</v>
      </c>
      <c r="N50" s="4">
        <v>112685.12</v>
      </c>
    </row>
    <row r="51" spans="1:14" x14ac:dyDescent="0.35">
      <c r="A51" s="4" t="s">
        <v>35</v>
      </c>
      <c r="B51" s="5">
        <v>45717</v>
      </c>
      <c r="C51" s="4" t="s">
        <v>29</v>
      </c>
      <c r="D51" s="4" t="s">
        <v>18</v>
      </c>
      <c r="E51" s="4">
        <v>50043.65</v>
      </c>
      <c r="F51" s="4">
        <v>3804</v>
      </c>
      <c r="G51" s="4">
        <v>0.113</v>
      </c>
      <c r="H51" s="4">
        <v>11</v>
      </c>
      <c r="I51" s="4">
        <v>90.9</v>
      </c>
      <c r="J51" s="4">
        <v>2.7</v>
      </c>
      <c r="K51" s="4">
        <v>1</v>
      </c>
      <c r="L51" s="4">
        <v>3.2</v>
      </c>
      <c r="M51" s="4">
        <v>614800.09</v>
      </c>
      <c r="N51" s="4">
        <v>100044.2</v>
      </c>
    </row>
    <row r="52" spans="1:14" x14ac:dyDescent="0.35">
      <c r="A52" s="4" t="s">
        <v>35</v>
      </c>
      <c r="B52" s="5">
        <v>45748</v>
      </c>
      <c r="C52" s="4" t="s">
        <v>29</v>
      </c>
      <c r="D52" s="4" t="s">
        <v>18</v>
      </c>
      <c r="E52" s="4">
        <v>42093.84</v>
      </c>
      <c r="F52" s="4">
        <v>4074</v>
      </c>
      <c r="G52" s="4">
        <v>0.155</v>
      </c>
      <c r="H52" s="4">
        <v>15</v>
      </c>
      <c r="I52" s="4">
        <v>88</v>
      </c>
      <c r="J52" s="4">
        <v>9.64</v>
      </c>
      <c r="K52" s="4">
        <v>0</v>
      </c>
      <c r="L52" s="4">
        <v>3.3</v>
      </c>
      <c r="M52" s="4">
        <v>585365.73</v>
      </c>
      <c r="N52" s="4">
        <v>81011.520000000004</v>
      </c>
    </row>
    <row r="53" spans="1:14" x14ac:dyDescent="0.35">
      <c r="A53" s="4" t="s">
        <v>36</v>
      </c>
      <c r="B53" s="5">
        <v>45658</v>
      </c>
      <c r="C53" s="4" t="s">
        <v>22</v>
      </c>
      <c r="D53" s="4" t="s">
        <v>30</v>
      </c>
      <c r="E53" s="4">
        <v>46624.05</v>
      </c>
      <c r="F53" s="4">
        <v>5104</v>
      </c>
      <c r="G53" s="4">
        <v>0.109</v>
      </c>
      <c r="H53" s="4">
        <v>11</v>
      </c>
      <c r="I53" s="4">
        <v>97.3</v>
      </c>
      <c r="J53" s="4">
        <v>3.49</v>
      </c>
      <c r="K53" s="4">
        <v>1</v>
      </c>
      <c r="L53" s="4">
        <v>4.7</v>
      </c>
      <c r="M53" s="4">
        <v>622811.74</v>
      </c>
      <c r="N53" s="4">
        <v>109978.35</v>
      </c>
    </row>
    <row r="54" spans="1:14" x14ac:dyDescent="0.35">
      <c r="A54" s="4" t="s">
        <v>36</v>
      </c>
      <c r="B54" s="5">
        <v>45689</v>
      </c>
      <c r="C54" s="4" t="s">
        <v>22</v>
      </c>
      <c r="D54" s="4" t="s">
        <v>30</v>
      </c>
      <c r="E54" s="4">
        <v>49710.29</v>
      </c>
      <c r="F54" s="4">
        <v>5559</v>
      </c>
      <c r="G54" s="4">
        <v>0.218</v>
      </c>
      <c r="H54" s="4">
        <v>14</v>
      </c>
      <c r="I54" s="4">
        <v>71</v>
      </c>
      <c r="J54" s="4">
        <v>9.11</v>
      </c>
      <c r="K54" s="4">
        <v>0</v>
      </c>
      <c r="L54" s="4">
        <v>4.5999999999999996</v>
      </c>
      <c r="M54" s="4">
        <v>603297.56999999995</v>
      </c>
      <c r="N54" s="4">
        <v>60592.26</v>
      </c>
    </row>
    <row r="55" spans="1:14" x14ac:dyDescent="0.35">
      <c r="A55" s="4" t="s">
        <v>36</v>
      </c>
      <c r="B55" s="5">
        <v>45717</v>
      </c>
      <c r="C55" s="4" t="s">
        <v>22</v>
      </c>
      <c r="D55" s="4" t="s">
        <v>30</v>
      </c>
      <c r="E55" s="4">
        <v>48287.85</v>
      </c>
      <c r="F55" s="4">
        <v>5150</v>
      </c>
      <c r="G55" s="4">
        <v>8.0000000000000002E-3</v>
      </c>
      <c r="H55" s="4">
        <v>12</v>
      </c>
      <c r="I55" s="4">
        <v>80.400000000000006</v>
      </c>
      <c r="J55" s="4">
        <v>7.4</v>
      </c>
      <c r="K55" s="4">
        <v>0</v>
      </c>
      <c r="L55" s="4">
        <v>4.5</v>
      </c>
      <c r="M55" s="4">
        <v>625672.86</v>
      </c>
      <c r="N55" s="4">
        <v>118020.12</v>
      </c>
    </row>
    <row r="56" spans="1:14" x14ac:dyDescent="0.35">
      <c r="A56" s="4" t="s">
        <v>36</v>
      </c>
      <c r="B56" s="5">
        <v>45748</v>
      </c>
      <c r="C56" s="4" t="s">
        <v>22</v>
      </c>
      <c r="D56" s="4" t="s">
        <v>30</v>
      </c>
      <c r="E56" s="4">
        <v>65312.49</v>
      </c>
      <c r="F56" s="4">
        <v>7189</v>
      </c>
      <c r="G56" s="4">
        <v>0.05</v>
      </c>
      <c r="H56" s="4">
        <v>19</v>
      </c>
      <c r="I56" s="4">
        <v>93.7</v>
      </c>
      <c r="J56" s="4">
        <v>7.16</v>
      </c>
      <c r="K56" s="4">
        <v>0</v>
      </c>
      <c r="L56" s="4">
        <v>4.5999999999999996</v>
      </c>
      <c r="M56" s="4">
        <v>773815.14</v>
      </c>
      <c r="N56" s="4">
        <v>133948.39000000001</v>
      </c>
    </row>
    <row r="57" spans="1:14" x14ac:dyDescent="0.35">
      <c r="A57" s="4" t="s">
        <v>37</v>
      </c>
      <c r="B57" s="5">
        <v>45658</v>
      </c>
      <c r="C57" s="4" t="s">
        <v>29</v>
      </c>
      <c r="D57" s="4" t="s">
        <v>20</v>
      </c>
      <c r="E57" s="4">
        <v>53015.46</v>
      </c>
      <c r="F57" s="4">
        <v>3279</v>
      </c>
      <c r="G57" s="4">
        <v>8.6999999999999994E-2</v>
      </c>
      <c r="H57" s="4">
        <v>9</v>
      </c>
      <c r="I57" s="4">
        <v>84.3</v>
      </c>
      <c r="J57" s="4">
        <v>22.02</v>
      </c>
      <c r="K57" s="4">
        <v>0</v>
      </c>
      <c r="L57" s="4">
        <v>3.9</v>
      </c>
      <c r="M57" s="4">
        <v>463534.25</v>
      </c>
      <c r="N57" s="4">
        <v>81834.539999999994</v>
      </c>
    </row>
    <row r="58" spans="1:14" x14ac:dyDescent="0.35">
      <c r="A58" s="4" t="s">
        <v>37</v>
      </c>
      <c r="B58" s="5">
        <v>45689</v>
      </c>
      <c r="C58" s="4" t="s">
        <v>29</v>
      </c>
      <c r="D58" s="4" t="s">
        <v>20</v>
      </c>
      <c r="E58" s="4">
        <v>99874.01</v>
      </c>
      <c r="F58" s="4">
        <v>5887</v>
      </c>
      <c r="G58" s="4">
        <v>0.26200000000000001</v>
      </c>
      <c r="H58" s="4">
        <v>14</v>
      </c>
      <c r="I58" s="4">
        <v>88.7</v>
      </c>
      <c r="J58" s="4">
        <v>6.18</v>
      </c>
      <c r="K58" s="4">
        <v>0</v>
      </c>
      <c r="L58" s="4">
        <v>4.7</v>
      </c>
      <c r="M58" s="4">
        <v>746677.75</v>
      </c>
      <c r="N58" s="4">
        <v>122437.84</v>
      </c>
    </row>
    <row r="59" spans="1:14" x14ac:dyDescent="0.35">
      <c r="A59" s="4" t="s">
        <v>37</v>
      </c>
      <c r="B59" s="5">
        <v>45717</v>
      </c>
      <c r="C59" s="4" t="s">
        <v>29</v>
      </c>
      <c r="D59" s="4" t="s">
        <v>20</v>
      </c>
      <c r="E59" s="4">
        <v>81195.5</v>
      </c>
      <c r="F59" s="4">
        <v>5516</v>
      </c>
      <c r="G59" s="4">
        <v>0.106</v>
      </c>
      <c r="H59" s="4">
        <v>14</v>
      </c>
      <c r="I59" s="4">
        <v>88</v>
      </c>
      <c r="J59" s="4">
        <v>1.76</v>
      </c>
      <c r="K59" s="4">
        <v>0</v>
      </c>
      <c r="L59" s="4">
        <v>4.3</v>
      </c>
      <c r="M59" s="4">
        <v>720852.5</v>
      </c>
      <c r="N59" s="4">
        <v>98565.62</v>
      </c>
    </row>
    <row r="60" spans="1:14" x14ac:dyDescent="0.35">
      <c r="A60" s="4" t="s">
        <v>37</v>
      </c>
      <c r="B60" s="5">
        <v>45748</v>
      </c>
      <c r="C60" s="4" t="s">
        <v>29</v>
      </c>
      <c r="D60" s="4" t="s">
        <v>20</v>
      </c>
      <c r="E60" s="4">
        <v>27808.6</v>
      </c>
      <c r="F60" s="4">
        <v>2863</v>
      </c>
      <c r="G60" s="4">
        <v>0.08</v>
      </c>
      <c r="H60" s="4">
        <v>13</v>
      </c>
      <c r="I60" s="4">
        <v>89.3</v>
      </c>
      <c r="J60" s="4">
        <v>0.47</v>
      </c>
      <c r="K60" s="4">
        <v>0</v>
      </c>
      <c r="L60" s="4">
        <v>4.0999999999999996</v>
      </c>
      <c r="M60" s="4">
        <v>487464.91</v>
      </c>
      <c r="N60" s="4">
        <v>64562.26</v>
      </c>
    </row>
    <row r="61" spans="1:14" x14ac:dyDescent="0.35">
      <c r="A61" s="4" t="s">
        <v>38</v>
      </c>
      <c r="B61" s="5">
        <v>45658</v>
      </c>
      <c r="C61" s="4" t="s">
        <v>17</v>
      </c>
      <c r="D61" s="4" t="s">
        <v>23</v>
      </c>
      <c r="E61" s="4">
        <v>19365.060000000001</v>
      </c>
      <c r="F61" s="4">
        <v>2378</v>
      </c>
      <c r="G61" s="4">
        <v>0</v>
      </c>
      <c r="H61" s="4">
        <v>12</v>
      </c>
      <c r="I61" s="4">
        <v>94.8</v>
      </c>
      <c r="J61" s="4">
        <v>0.2</v>
      </c>
      <c r="K61" s="4">
        <v>0</v>
      </c>
      <c r="L61" s="4">
        <v>3.5</v>
      </c>
      <c r="M61" s="4">
        <v>518049.26</v>
      </c>
      <c r="N61" s="4">
        <v>108592.49</v>
      </c>
    </row>
    <row r="62" spans="1:14" x14ac:dyDescent="0.35">
      <c r="A62" s="4" t="s">
        <v>38</v>
      </c>
      <c r="B62" s="5">
        <v>45689</v>
      </c>
      <c r="C62" s="4" t="s">
        <v>17</v>
      </c>
      <c r="D62" s="4" t="s">
        <v>23</v>
      </c>
      <c r="E62" s="4">
        <v>59405.68</v>
      </c>
      <c r="F62" s="4">
        <v>2515</v>
      </c>
      <c r="G62" s="4">
        <v>3.9E-2</v>
      </c>
      <c r="H62" s="4">
        <v>12</v>
      </c>
      <c r="I62" s="4">
        <v>76</v>
      </c>
      <c r="J62" s="4">
        <v>5.1100000000000003</v>
      </c>
      <c r="K62" s="4">
        <v>0</v>
      </c>
      <c r="L62" s="4">
        <v>3.7</v>
      </c>
      <c r="M62" s="4">
        <v>500298.48</v>
      </c>
      <c r="N62" s="4">
        <v>73461.320000000007</v>
      </c>
    </row>
    <row r="63" spans="1:14" x14ac:dyDescent="0.35">
      <c r="A63" s="4" t="s">
        <v>38</v>
      </c>
      <c r="B63" s="5">
        <v>45717</v>
      </c>
      <c r="C63" s="4" t="s">
        <v>17</v>
      </c>
      <c r="D63" s="4" t="s">
        <v>23</v>
      </c>
      <c r="E63" s="4">
        <v>118910.48</v>
      </c>
      <c r="F63" s="4">
        <v>4022</v>
      </c>
      <c r="G63" s="4">
        <v>0.13700000000000001</v>
      </c>
      <c r="H63" s="4">
        <v>11</v>
      </c>
      <c r="I63" s="4">
        <v>87.1</v>
      </c>
      <c r="J63" s="4">
        <v>0.2</v>
      </c>
      <c r="K63" s="4">
        <v>0</v>
      </c>
      <c r="L63" s="4">
        <v>3.1</v>
      </c>
      <c r="M63" s="4">
        <v>617291.15</v>
      </c>
      <c r="N63" s="4">
        <v>117782</v>
      </c>
    </row>
    <row r="64" spans="1:14" x14ac:dyDescent="0.35">
      <c r="A64" s="4" t="s">
        <v>38</v>
      </c>
      <c r="B64" s="5">
        <v>45748</v>
      </c>
      <c r="C64" s="4" t="s">
        <v>17</v>
      </c>
      <c r="D64" s="4" t="s">
        <v>23</v>
      </c>
      <c r="E64" s="4">
        <v>52952.12</v>
      </c>
      <c r="F64" s="4">
        <v>4377</v>
      </c>
      <c r="G64" s="4">
        <v>9.1999999999999998E-2</v>
      </c>
      <c r="H64" s="4">
        <v>14</v>
      </c>
      <c r="I64" s="4">
        <v>88.6</v>
      </c>
      <c r="J64" s="4">
        <v>13.59</v>
      </c>
      <c r="K64" s="4">
        <v>0</v>
      </c>
      <c r="L64" s="4">
        <v>3.1</v>
      </c>
      <c r="M64" s="4">
        <v>553756.43000000005</v>
      </c>
      <c r="N64" s="4">
        <v>86166.77</v>
      </c>
    </row>
    <row r="65" spans="1:14" x14ac:dyDescent="0.35">
      <c r="A65" s="4" t="s">
        <v>39</v>
      </c>
      <c r="B65" s="5">
        <v>45658</v>
      </c>
      <c r="C65" s="4" t="s">
        <v>26</v>
      </c>
      <c r="D65" s="4" t="s">
        <v>20</v>
      </c>
      <c r="E65" s="4">
        <v>74907.98</v>
      </c>
      <c r="F65" s="4">
        <v>5306</v>
      </c>
      <c r="G65" s="4">
        <v>6.2E-2</v>
      </c>
      <c r="H65" s="4">
        <v>16</v>
      </c>
      <c r="I65" s="4">
        <v>95.6</v>
      </c>
      <c r="J65" s="4">
        <v>1.02</v>
      </c>
      <c r="K65" s="4">
        <v>0</v>
      </c>
      <c r="L65" s="4">
        <v>3.7</v>
      </c>
      <c r="M65" s="4">
        <v>749559.71</v>
      </c>
      <c r="N65" s="4">
        <v>144522.53</v>
      </c>
    </row>
    <row r="66" spans="1:14" x14ac:dyDescent="0.35">
      <c r="A66" s="4" t="s">
        <v>39</v>
      </c>
      <c r="B66" s="5">
        <v>45689</v>
      </c>
      <c r="C66" s="4" t="s">
        <v>26</v>
      </c>
      <c r="D66" s="4" t="s">
        <v>20</v>
      </c>
      <c r="E66" s="4">
        <v>37284.660000000003</v>
      </c>
      <c r="F66" s="4">
        <v>3928</v>
      </c>
      <c r="G66" s="4">
        <v>7.3999999999999996E-2</v>
      </c>
      <c r="H66" s="4">
        <v>12</v>
      </c>
      <c r="I66" s="4">
        <v>86.5</v>
      </c>
      <c r="J66" s="4">
        <v>1.64</v>
      </c>
      <c r="K66" s="4">
        <v>0</v>
      </c>
      <c r="L66" s="4">
        <v>3.8</v>
      </c>
      <c r="M66" s="4">
        <v>615966.48</v>
      </c>
      <c r="N66" s="4">
        <v>91509.38</v>
      </c>
    </row>
    <row r="67" spans="1:14" x14ac:dyDescent="0.35">
      <c r="A67" s="4" t="s">
        <v>39</v>
      </c>
      <c r="B67" s="5">
        <v>45717</v>
      </c>
      <c r="C67" s="4" t="s">
        <v>26</v>
      </c>
      <c r="D67" s="4" t="s">
        <v>20</v>
      </c>
      <c r="E67" s="4">
        <v>50343.19</v>
      </c>
      <c r="F67" s="4">
        <v>3845</v>
      </c>
      <c r="G67" s="4">
        <v>0.113</v>
      </c>
      <c r="H67" s="4">
        <v>9</v>
      </c>
      <c r="I67" s="4">
        <v>88.7</v>
      </c>
      <c r="J67" s="4">
        <v>5.15</v>
      </c>
      <c r="K67" s="4">
        <v>0</v>
      </c>
      <c r="L67" s="4">
        <v>3.3</v>
      </c>
      <c r="M67" s="4">
        <v>572011.19999999995</v>
      </c>
      <c r="N67" s="4">
        <v>101409.68</v>
      </c>
    </row>
    <row r="68" spans="1:14" x14ac:dyDescent="0.35">
      <c r="A68" s="4" t="s">
        <v>39</v>
      </c>
      <c r="B68" s="5">
        <v>45748</v>
      </c>
      <c r="C68" s="4" t="s">
        <v>26</v>
      </c>
      <c r="D68" s="4" t="s">
        <v>20</v>
      </c>
      <c r="E68" s="4">
        <v>74954.47</v>
      </c>
      <c r="F68" s="4">
        <v>6620</v>
      </c>
      <c r="G68" s="4">
        <v>5.3999999999999999E-2</v>
      </c>
      <c r="H68" s="4">
        <v>17</v>
      </c>
      <c r="I68" s="4">
        <v>91.1</v>
      </c>
      <c r="J68" s="4">
        <v>1.1100000000000001</v>
      </c>
      <c r="K68" s="4">
        <v>0</v>
      </c>
      <c r="L68" s="4">
        <v>3.5</v>
      </c>
      <c r="M68" s="4">
        <v>761860.19</v>
      </c>
      <c r="N68" s="4">
        <v>133279.38</v>
      </c>
    </row>
    <row r="69" spans="1:14" x14ac:dyDescent="0.35">
      <c r="A69" s="4" t="s">
        <v>40</v>
      </c>
      <c r="B69" s="5">
        <v>45658</v>
      </c>
      <c r="C69" s="4" t="s">
        <v>29</v>
      </c>
      <c r="D69" s="4" t="s">
        <v>20</v>
      </c>
      <c r="E69" s="4">
        <v>70040.31</v>
      </c>
      <c r="F69" s="4">
        <v>9175</v>
      </c>
      <c r="G69" s="4">
        <v>0.107</v>
      </c>
      <c r="H69" s="4">
        <v>23</v>
      </c>
      <c r="I69" s="4">
        <v>95.1</v>
      </c>
      <c r="J69" s="4">
        <v>6.08</v>
      </c>
      <c r="K69" s="4">
        <v>1</v>
      </c>
      <c r="L69" s="4">
        <v>3.4</v>
      </c>
      <c r="M69" s="4">
        <v>784502.68</v>
      </c>
      <c r="N69" s="4">
        <v>129519.72</v>
      </c>
    </row>
    <row r="70" spans="1:14" x14ac:dyDescent="0.35">
      <c r="A70" s="4" t="s">
        <v>40</v>
      </c>
      <c r="B70" s="5">
        <v>45689</v>
      </c>
      <c r="C70" s="4" t="s">
        <v>29</v>
      </c>
      <c r="D70" s="4" t="s">
        <v>20</v>
      </c>
      <c r="E70" s="4">
        <v>51148.69</v>
      </c>
      <c r="F70" s="4">
        <v>7940</v>
      </c>
      <c r="G70" s="4">
        <v>0.156</v>
      </c>
      <c r="H70" s="4">
        <v>18</v>
      </c>
      <c r="I70" s="4">
        <v>93.3</v>
      </c>
      <c r="J70" s="4">
        <v>10.91</v>
      </c>
      <c r="K70" s="4">
        <v>0</v>
      </c>
      <c r="L70" s="4">
        <v>3.6</v>
      </c>
      <c r="M70" s="4">
        <v>717141.55</v>
      </c>
      <c r="N70" s="4">
        <v>134013.60999999999</v>
      </c>
    </row>
    <row r="71" spans="1:14" x14ac:dyDescent="0.35">
      <c r="A71" s="4" t="s">
        <v>40</v>
      </c>
      <c r="B71" s="5">
        <v>45717</v>
      </c>
      <c r="C71" s="4" t="s">
        <v>29</v>
      </c>
      <c r="D71" s="4" t="s">
        <v>20</v>
      </c>
      <c r="E71" s="4">
        <v>79346.100000000006</v>
      </c>
      <c r="F71" s="4">
        <v>9628</v>
      </c>
      <c r="G71" s="4">
        <v>0.10199999999999999</v>
      </c>
      <c r="H71" s="4">
        <v>20</v>
      </c>
      <c r="I71" s="4">
        <v>99</v>
      </c>
      <c r="J71" s="4">
        <v>19.010000000000002</v>
      </c>
      <c r="K71" s="4">
        <v>1</v>
      </c>
      <c r="L71" s="4">
        <v>3.2</v>
      </c>
      <c r="M71" s="4">
        <v>685379.08</v>
      </c>
      <c r="N71" s="4">
        <v>106898.82</v>
      </c>
    </row>
    <row r="72" spans="1:14" x14ac:dyDescent="0.35">
      <c r="A72" s="4" t="s">
        <v>40</v>
      </c>
      <c r="B72" s="5">
        <v>45748</v>
      </c>
      <c r="C72" s="4" t="s">
        <v>29</v>
      </c>
      <c r="D72" s="4" t="s">
        <v>20</v>
      </c>
      <c r="E72" s="4">
        <v>42018.400000000001</v>
      </c>
      <c r="F72" s="4">
        <v>8296</v>
      </c>
      <c r="G72" s="4">
        <v>0.115</v>
      </c>
      <c r="H72" s="4">
        <v>17</v>
      </c>
      <c r="I72" s="4">
        <v>91.8</v>
      </c>
      <c r="J72" s="4">
        <v>0.77</v>
      </c>
      <c r="K72" s="4">
        <v>0</v>
      </c>
      <c r="L72" s="4">
        <v>3.4</v>
      </c>
      <c r="M72" s="4">
        <v>740496.65</v>
      </c>
      <c r="N72" s="4">
        <v>128020.9</v>
      </c>
    </row>
    <row r="73" spans="1:14" x14ac:dyDescent="0.35">
      <c r="A73" s="4" t="s">
        <v>41</v>
      </c>
      <c r="B73" s="5">
        <v>45658</v>
      </c>
      <c r="C73" s="4" t="s">
        <v>17</v>
      </c>
      <c r="D73" s="4" t="s">
        <v>20</v>
      </c>
      <c r="E73" s="4">
        <v>70937.240000000005</v>
      </c>
      <c r="F73" s="4">
        <v>3595</v>
      </c>
      <c r="G73" s="4">
        <v>0.14099999999999999</v>
      </c>
      <c r="H73" s="4">
        <v>11</v>
      </c>
      <c r="I73" s="4">
        <v>88.9</v>
      </c>
      <c r="J73" s="4">
        <v>2.83</v>
      </c>
      <c r="K73" s="4">
        <v>1</v>
      </c>
      <c r="L73" s="4">
        <v>3.3</v>
      </c>
      <c r="M73" s="4">
        <v>661927.14</v>
      </c>
      <c r="N73" s="4">
        <v>79218.570000000007</v>
      </c>
    </row>
    <row r="74" spans="1:14" x14ac:dyDescent="0.35">
      <c r="A74" s="4" t="s">
        <v>41</v>
      </c>
      <c r="B74" s="5">
        <v>45689</v>
      </c>
      <c r="C74" s="4" t="s">
        <v>17</v>
      </c>
      <c r="D74" s="4" t="s">
        <v>20</v>
      </c>
      <c r="E74" s="4">
        <v>36813.449999999997</v>
      </c>
      <c r="F74" s="4">
        <v>2834</v>
      </c>
      <c r="G74" s="4">
        <v>0.191</v>
      </c>
      <c r="H74" s="4">
        <v>11</v>
      </c>
      <c r="I74" s="4">
        <v>81.8</v>
      </c>
      <c r="J74" s="4">
        <v>2.33</v>
      </c>
      <c r="K74" s="4">
        <v>0</v>
      </c>
      <c r="L74" s="4">
        <v>3.3</v>
      </c>
      <c r="M74" s="4">
        <v>479050.5</v>
      </c>
      <c r="N74" s="4">
        <v>53651.11</v>
      </c>
    </row>
    <row r="75" spans="1:14" x14ac:dyDescent="0.35">
      <c r="A75" s="4" t="s">
        <v>41</v>
      </c>
      <c r="B75" s="5">
        <v>45717</v>
      </c>
      <c r="C75" s="4" t="s">
        <v>17</v>
      </c>
      <c r="D75" s="4" t="s">
        <v>20</v>
      </c>
      <c r="E75" s="4">
        <v>60571.82</v>
      </c>
      <c r="F75" s="4">
        <v>3193</v>
      </c>
      <c r="G75" s="4">
        <v>0.19700000000000001</v>
      </c>
      <c r="H75" s="4">
        <v>7</v>
      </c>
      <c r="I75" s="4">
        <v>99</v>
      </c>
      <c r="J75" s="4">
        <v>1.43</v>
      </c>
      <c r="K75" s="4">
        <v>0</v>
      </c>
      <c r="L75" s="4">
        <v>3.2</v>
      </c>
      <c r="M75" s="4">
        <v>605023.87</v>
      </c>
      <c r="N75" s="4">
        <v>98545.81</v>
      </c>
    </row>
    <row r="76" spans="1:14" x14ac:dyDescent="0.35">
      <c r="A76" s="4" t="s">
        <v>41</v>
      </c>
      <c r="B76" s="5">
        <v>45748</v>
      </c>
      <c r="C76" s="4" t="s">
        <v>17</v>
      </c>
      <c r="D76" s="4" t="s">
        <v>20</v>
      </c>
      <c r="E76" s="4">
        <v>55081.16</v>
      </c>
      <c r="F76" s="4">
        <v>5485</v>
      </c>
      <c r="G76" s="4">
        <v>3.5999999999999997E-2</v>
      </c>
      <c r="H76" s="4">
        <v>12</v>
      </c>
      <c r="I76" s="4">
        <v>88</v>
      </c>
      <c r="J76" s="4"/>
      <c r="K76" s="4">
        <v>0</v>
      </c>
      <c r="L76" s="4">
        <v>3.5</v>
      </c>
      <c r="M76" s="4">
        <v>674774.09</v>
      </c>
      <c r="N76" s="4">
        <v>141917.59</v>
      </c>
    </row>
    <row r="77" spans="1:14" x14ac:dyDescent="0.35">
      <c r="A77" s="4" t="s">
        <v>42</v>
      </c>
      <c r="B77" s="5">
        <v>45658</v>
      </c>
      <c r="C77" s="4" t="s">
        <v>17</v>
      </c>
      <c r="D77" s="4" t="s">
        <v>18</v>
      </c>
      <c r="E77" s="4">
        <v>46201.46</v>
      </c>
      <c r="F77" s="4">
        <v>5918</v>
      </c>
      <c r="G77" s="4">
        <v>0.27700000000000002</v>
      </c>
      <c r="H77" s="4">
        <v>13</v>
      </c>
      <c r="I77" s="4">
        <v>78.8</v>
      </c>
      <c r="J77" s="4">
        <v>4.91</v>
      </c>
      <c r="K77" s="4">
        <v>0</v>
      </c>
      <c r="L77" s="4">
        <v>4.5</v>
      </c>
      <c r="M77" s="4">
        <v>616069.41</v>
      </c>
      <c r="N77" s="4">
        <v>54453.99</v>
      </c>
    </row>
    <row r="78" spans="1:14" x14ac:dyDescent="0.35">
      <c r="A78" s="4" t="s">
        <v>42</v>
      </c>
      <c r="B78" s="5">
        <v>45689</v>
      </c>
      <c r="C78" s="4" t="s">
        <v>17</v>
      </c>
      <c r="D78" s="4" t="s">
        <v>18</v>
      </c>
      <c r="E78" s="4">
        <v>53762.92</v>
      </c>
      <c r="F78" s="4">
        <v>6821</v>
      </c>
      <c r="G78" s="4">
        <v>6.6000000000000003E-2</v>
      </c>
      <c r="H78" s="4">
        <v>19</v>
      </c>
      <c r="I78" s="4">
        <v>94.6</v>
      </c>
      <c r="J78" s="4">
        <v>7.03</v>
      </c>
      <c r="K78" s="4">
        <v>0</v>
      </c>
      <c r="L78" s="4">
        <v>4.4000000000000004</v>
      </c>
      <c r="M78" s="4">
        <v>630829.93999999994</v>
      </c>
      <c r="N78" s="4">
        <v>117090.02</v>
      </c>
    </row>
    <row r="79" spans="1:14" x14ac:dyDescent="0.35">
      <c r="A79" s="4" t="s">
        <v>42</v>
      </c>
      <c r="B79" s="5">
        <v>45717</v>
      </c>
      <c r="C79" s="4" t="s">
        <v>17</v>
      </c>
      <c r="D79" s="4" t="s">
        <v>18</v>
      </c>
      <c r="E79" s="4">
        <v>70144.78</v>
      </c>
      <c r="F79" s="4">
        <v>6806</v>
      </c>
      <c r="G79" s="4">
        <v>0.17799999999999999</v>
      </c>
      <c r="H79" s="4">
        <v>20</v>
      </c>
      <c r="I79" s="4">
        <v>93.1</v>
      </c>
      <c r="J79" s="4">
        <v>0.28000000000000003</v>
      </c>
      <c r="K79" s="4">
        <v>1</v>
      </c>
      <c r="L79" s="4">
        <v>4.3</v>
      </c>
      <c r="M79" s="4">
        <v>788087.68</v>
      </c>
      <c r="N79" s="4">
        <v>116803.42</v>
      </c>
    </row>
    <row r="80" spans="1:14" x14ac:dyDescent="0.35">
      <c r="A80" s="4" t="s">
        <v>42</v>
      </c>
      <c r="B80" s="5">
        <v>45748</v>
      </c>
      <c r="C80" s="4" t="s">
        <v>17</v>
      </c>
      <c r="D80" s="4" t="s">
        <v>18</v>
      </c>
      <c r="E80" s="4">
        <v>58749.63</v>
      </c>
      <c r="F80" s="4">
        <v>8252</v>
      </c>
      <c r="G80" s="4">
        <v>0.20300000000000001</v>
      </c>
      <c r="H80" s="4">
        <v>20</v>
      </c>
      <c r="I80" s="4">
        <v>85.2</v>
      </c>
      <c r="J80" s="4">
        <v>3.61</v>
      </c>
      <c r="K80" s="4">
        <v>0</v>
      </c>
      <c r="L80" s="4">
        <v>4.5</v>
      </c>
      <c r="M80" s="4">
        <v>680840.36</v>
      </c>
      <c r="N80" s="4">
        <v>68007.679999999993</v>
      </c>
    </row>
    <row r="81" spans="1:14" x14ac:dyDescent="0.35">
      <c r="A81" s="4" t="s">
        <v>43</v>
      </c>
      <c r="B81" s="5">
        <v>45658</v>
      </c>
      <c r="C81" s="4" t="s">
        <v>26</v>
      </c>
      <c r="D81" s="4" t="s">
        <v>20</v>
      </c>
      <c r="E81" s="4">
        <v>56973.18</v>
      </c>
      <c r="F81" s="4">
        <v>6662</v>
      </c>
      <c r="G81" s="4">
        <v>0.1</v>
      </c>
      <c r="H81" s="4">
        <v>15</v>
      </c>
      <c r="I81" s="4">
        <v>77.7</v>
      </c>
      <c r="J81" s="4">
        <v>7.52</v>
      </c>
      <c r="K81" s="4">
        <v>1</v>
      </c>
      <c r="L81" s="4">
        <v>3.2</v>
      </c>
      <c r="M81" s="4">
        <v>643657.47</v>
      </c>
      <c r="N81" s="4">
        <v>87022.45</v>
      </c>
    </row>
    <row r="82" spans="1:14" x14ac:dyDescent="0.35">
      <c r="A82" s="4" t="s">
        <v>43</v>
      </c>
      <c r="B82" s="5">
        <v>45689</v>
      </c>
      <c r="C82" s="4" t="s">
        <v>26</v>
      </c>
      <c r="D82" s="4" t="s">
        <v>20</v>
      </c>
      <c r="E82" s="4">
        <v>54872.82</v>
      </c>
      <c r="F82" s="4">
        <v>5962</v>
      </c>
      <c r="G82" s="4">
        <v>6.4000000000000001E-2</v>
      </c>
      <c r="H82" s="4">
        <v>12</v>
      </c>
      <c r="I82" s="4">
        <v>85.4</v>
      </c>
      <c r="J82" s="4">
        <v>2.58</v>
      </c>
      <c r="K82" s="4">
        <v>0</v>
      </c>
      <c r="L82" s="4">
        <v>2.9</v>
      </c>
      <c r="M82" s="4">
        <v>691112.6</v>
      </c>
      <c r="N82" s="4">
        <v>109212.83</v>
      </c>
    </row>
    <row r="83" spans="1:14" x14ac:dyDescent="0.35">
      <c r="A83" s="4" t="s">
        <v>43</v>
      </c>
      <c r="B83" s="5">
        <v>45717</v>
      </c>
      <c r="C83" s="4" t="s">
        <v>26</v>
      </c>
      <c r="D83" s="4" t="s">
        <v>20</v>
      </c>
      <c r="E83" s="4">
        <v>80562.81</v>
      </c>
      <c r="F83" s="4">
        <v>7470</v>
      </c>
      <c r="G83" s="4">
        <v>0.17199999999999999</v>
      </c>
      <c r="H83" s="4">
        <v>16</v>
      </c>
      <c r="I83" s="4">
        <v>83.5</v>
      </c>
      <c r="J83" s="4">
        <v>2.29</v>
      </c>
      <c r="K83" s="4">
        <v>0</v>
      </c>
      <c r="L83" s="4">
        <v>3.3</v>
      </c>
      <c r="M83" s="4">
        <v>776922.17</v>
      </c>
      <c r="N83" s="4">
        <v>150701.93</v>
      </c>
    </row>
    <row r="84" spans="1:14" x14ac:dyDescent="0.35">
      <c r="A84" s="4" t="s">
        <v>43</v>
      </c>
      <c r="B84" s="5">
        <v>45748</v>
      </c>
      <c r="C84" s="4" t="s">
        <v>26</v>
      </c>
      <c r="D84" s="4" t="s">
        <v>20</v>
      </c>
      <c r="E84" s="4">
        <v>77999.899999999994</v>
      </c>
      <c r="F84" s="4">
        <v>5974</v>
      </c>
      <c r="G84" s="4">
        <v>0.252</v>
      </c>
      <c r="H84" s="4">
        <v>14</v>
      </c>
      <c r="I84" s="4">
        <v>81.3</v>
      </c>
      <c r="J84" s="4">
        <v>2.39</v>
      </c>
      <c r="K84" s="4">
        <v>0</v>
      </c>
      <c r="L84" s="4">
        <v>3.2</v>
      </c>
      <c r="M84" s="4">
        <v>636561.34</v>
      </c>
      <c r="N84" s="4">
        <v>93861.06</v>
      </c>
    </row>
    <row r="85" spans="1:14" x14ac:dyDescent="0.35">
      <c r="A85" s="4" t="s">
        <v>44</v>
      </c>
      <c r="B85" s="5">
        <v>45658</v>
      </c>
      <c r="C85" s="4" t="s">
        <v>29</v>
      </c>
      <c r="D85" s="4" t="s">
        <v>30</v>
      </c>
      <c r="E85" s="4">
        <v>60881.01</v>
      </c>
      <c r="F85" s="4">
        <v>5410</v>
      </c>
      <c r="G85" s="4">
        <v>0.17899999999999999</v>
      </c>
      <c r="H85" s="4">
        <v>15</v>
      </c>
      <c r="I85" s="4">
        <v>83.9</v>
      </c>
      <c r="J85" s="4">
        <v>5.24</v>
      </c>
      <c r="K85" s="4">
        <v>0</v>
      </c>
      <c r="L85" s="4">
        <v>4.5999999999999996</v>
      </c>
      <c r="M85" s="4">
        <v>621369.57999999996</v>
      </c>
      <c r="N85" s="4">
        <v>85493.64</v>
      </c>
    </row>
    <row r="86" spans="1:14" x14ac:dyDescent="0.35">
      <c r="A86" s="4" t="s">
        <v>44</v>
      </c>
      <c r="B86" s="5">
        <v>45689</v>
      </c>
      <c r="C86" s="4" t="s">
        <v>29</v>
      </c>
      <c r="D86" s="4" t="s">
        <v>30</v>
      </c>
      <c r="E86" s="4">
        <v>60628.38</v>
      </c>
      <c r="F86" s="4">
        <v>4451</v>
      </c>
      <c r="G86" s="4">
        <v>9.5000000000000001E-2</v>
      </c>
      <c r="H86" s="4">
        <v>10</v>
      </c>
      <c r="I86" s="4">
        <v>89.6</v>
      </c>
      <c r="J86" s="4">
        <v>3.17</v>
      </c>
      <c r="K86" s="4">
        <v>0</v>
      </c>
      <c r="L86" s="4">
        <v>4.5999999999999996</v>
      </c>
      <c r="M86" s="4">
        <v>682208.01</v>
      </c>
      <c r="N86" s="4">
        <v>110318.84</v>
      </c>
    </row>
    <row r="87" spans="1:14" x14ac:dyDescent="0.35">
      <c r="A87" s="4" t="s">
        <v>44</v>
      </c>
      <c r="B87" s="5">
        <v>45717</v>
      </c>
      <c r="C87" s="4" t="s">
        <v>29</v>
      </c>
      <c r="D87" s="4" t="s">
        <v>30</v>
      </c>
      <c r="E87" s="4">
        <v>72731.14</v>
      </c>
      <c r="F87" s="4">
        <v>4644</v>
      </c>
      <c r="G87" s="4">
        <v>8.4000000000000005E-2</v>
      </c>
      <c r="H87" s="4">
        <v>15</v>
      </c>
      <c r="I87" s="4">
        <v>87.1</v>
      </c>
      <c r="J87" s="4">
        <v>2.66</v>
      </c>
      <c r="K87" s="4">
        <v>0</v>
      </c>
      <c r="L87" s="4">
        <v>4.5999999999999996</v>
      </c>
      <c r="M87" s="4">
        <v>727241.86</v>
      </c>
      <c r="N87" s="4">
        <v>155810.29999999999</v>
      </c>
    </row>
    <row r="88" spans="1:14" x14ac:dyDescent="0.35">
      <c r="A88" s="4" t="s">
        <v>44</v>
      </c>
      <c r="B88" s="5">
        <v>45748</v>
      </c>
      <c r="C88" s="4" t="s">
        <v>29</v>
      </c>
      <c r="D88" s="4" t="s">
        <v>30</v>
      </c>
      <c r="E88" s="4">
        <v>36475.71</v>
      </c>
      <c r="F88" s="4">
        <v>3559</v>
      </c>
      <c r="G88" s="4">
        <v>0.03</v>
      </c>
      <c r="H88" s="4">
        <v>8</v>
      </c>
      <c r="I88" s="4">
        <v>83.6</v>
      </c>
      <c r="J88" s="4">
        <v>1.41</v>
      </c>
      <c r="K88" s="4">
        <v>0</v>
      </c>
      <c r="L88" s="4">
        <v>4.2</v>
      </c>
      <c r="M88" s="4">
        <v>569100.78</v>
      </c>
      <c r="N88" s="4">
        <v>104808.78</v>
      </c>
    </row>
    <row r="89" spans="1:14" x14ac:dyDescent="0.35">
      <c r="A89" s="4" t="s">
        <v>45</v>
      </c>
      <c r="B89" s="5">
        <v>45658</v>
      </c>
      <c r="C89" s="4" t="s">
        <v>29</v>
      </c>
      <c r="D89" s="4" t="s">
        <v>20</v>
      </c>
      <c r="E89" s="4">
        <v>55388.11</v>
      </c>
      <c r="F89" s="4">
        <v>3091</v>
      </c>
      <c r="G89" s="4">
        <v>0.108</v>
      </c>
      <c r="H89" s="4">
        <v>7</v>
      </c>
      <c r="I89" s="4">
        <v>85.4</v>
      </c>
      <c r="J89" s="4">
        <v>7.34</v>
      </c>
      <c r="K89" s="4">
        <v>0</v>
      </c>
      <c r="L89" s="4">
        <v>4.9000000000000004</v>
      </c>
      <c r="M89" s="4">
        <v>574436.29</v>
      </c>
      <c r="N89" s="4">
        <v>80271.990000000005</v>
      </c>
    </row>
    <row r="90" spans="1:14" x14ac:dyDescent="0.35">
      <c r="A90" s="4" t="s">
        <v>45</v>
      </c>
      <c r="B90" s="5">
        <v>45689</v>
      </c>
      <c r="C90" s="4" t="s">
        <v>29</v>
      </c>
      <c r="D90" s="4" t="s">
        <v>20</v>
      </c>
      <c r="E90" s="4">
        <v>88443.77</v>
      </c>
      <c r="F90" s="4">
        <v>4004</v>
      </c>
      <c r="G90" s="4">
        <v>0.20599999999999999</v>
      </c>
      <c r="H90" s="4">
        <v>11</v>
      </c>
      <c r="I90" s="4">
        <v>91.9</v>
      </c>
      <c r="J90" s="4">
        <v>5.95</v>
      </c>
      <c r="K90" s="4">
        <v>0</v>
      </c>
      <c r="L90" s="4"/>
      <c r="M90" s="4">
        <v>611766.72</v>
      </c>
      <c r="N90" s="4">
        <v>88275.61</v>
      </c>
    </row>
    <row r="91" spans="1:14" x14ac:dyDescent="0.35">
      <c r="A91" s="4" t="s">
        <v>45</v>
      </c>
      <c r="B91" s="5">
        <v>45717</v>
      </c>
      <c r="C91" s="4" t="s">
        <v>29</v>
      </c>
      <c r="D91" s="4" t="s">
        <v>20</v>
      </c>
      <c r="E91" s="4">
        <v>78231.91</v>
      </c>
      <c r="F91" s="4">
        <v>3788</v>
      </c>
      <c r="G91" s="4">
        <v>5.8999999999999997E-2</v>
      </c>
      <c r="H91" s="4">
        <v>11</v>
      </c>
      <c r="I91" s="4">
        <v>88.5</v>
      </c>
      <c r="J91" s="4">
        <v>15.51</v>
      </c>
      <c r="K91" s="4">
        <v>0</v>
      </c>
      <c r="L91" s="4">
        <v>4.3</v>
      </c>
      <c r="M91" s="4">
        <v>614596.31999999995</v>
      </c>
      <c r="N91" s="4">
        <v>131199.41</v>
      </c>
    </row>
    <row r="92" spans="1:14" x14ac:dyDescent="0.35">
      <c r="A92" s="4" t="s">
        <v>45</v>
      </c>
      <c r="B92" s="5">
        <v>45748</v>
      </c>
      <c r="C92" s="4" t="s">
        <v>29</v>
      </c>
      <c r="D92" s="4" t="s">
        <v>20</v>
      </c>
      <c r="E92" s="4">
        <v>18996.32</v>
      </c>
      <c r="F92" s="4">
        <v>1260</v>
      </c>
      <c r="G92" s="4">
        <v>0.14499999999999999</v>
      </c>
      <c r="H92" s="4">
        <v>9</v>
      </c>
      <c r="I92" s="4">
        <v>86.4</v>
      </c>
      <c r="J92" s="4">
        <v>4.3099999999999996</v>
      </c>
      <c r="K92" s="4">
        <v>0</v>
      </c>
      <c r="L92" s="4">
        <v>4.5999999999999996</v>
      </c>
      <c r="M92" s="4">
        <v>450711.92</v>
      </c>
      <c r="N92" s="4">
        <v>90043.76</v>
      </c>
    </row>
    <row r="93" spans="1:14" x14ac:dyDescent="0.35">
      <c r="A93" s="4" t="s">
        <v>46</v>
      </c>
      <c r="B93" s="5">
        <v>45658</v>
      </c>
      <c r="C93" s="4" t="s">
        <v>26</v>
      </c>
      <c r="D93" s="4" t="s">
        <v>30</v>
      </c>
      <c r="E93" s="4">
        <v>50517.94</v>
      </c>
      <c r="F93" s="4">
        <v>7024</v>
      </c>
      <c r="G93" s="4">
        <v>2.9000000000000001E-2</v>
      </c>
      <c r="H93" s="4">
        <v>18</v>
      </c>
      <c r="I93" s="4">
        <v>79.2</v>
      </c>
      <c r="J93" s="4">
        <v>6.61</v>
      </c>
      <c r="K93" s="4">
        <v>1</v>
      </c>
      <c r="L93" s="4">
        <v>4.0999999999999996</v>
      </c>
      <c r="M93" s="4">
        <v>711213.46</v>
      </c>
      <c r="N93" s="4">
        <v>105863.26</v>
      </c>
    </row>
    <row r="94" spans="1:14" x14ac:dyDescent="0.35">
      <c r="A94" s="4" t="s">
        <v>46</v>
      </c>
      <c r="B94" s="5">
        <v>45689</v>
      </c>
      <c r="C94" s="4" t="s">
        <v>26</v>
      </c>
      <c r="D94" s="4" t="s">
        <v>30</v>
      </c>
      <c r="E94" s="4">
        <v>141540.29</v>
      </c>
      <c r="F94" s="4">
        <v>5400</v>
      </c>
      <c r="G94" s="4">
        <v>1.2999999999999999E-2</v>
      </c>
      <c r="H94" s="4">
        <v>12</v>
      </c>
      <c r="I94" s="4">
        <v>87</v>
      </c>
      <c r="J94" s="4">
        <v>4.26</v>
      </c>
      <c r="K94" s="4">
        <v>0</v>
      </c>
      <c r="L94" s="4">
        <v>4.5</v>
      </c>
      <c r="M94" s="4">
        <v>627171.9</v>
      </c>
      <c r="N94" s="4">
        <v>105772.75</v>
      </c>
    </row>
    <row r="95" spans="1:14" x14ac:dyDescent="0.35">
      <c r="A95" s="4" t="s">
        <v>46</v>
      </c>
      <c r="B95" s="5">
        <v>45717</v>
      </c>
      <c r="C95" s="4" t="s">
        <v>26</v>
      </c>
      <c r="D95" s="4" t="s">
        <v>30</v>
      </c>
      <c r="E95" s="4">
        <v>82116.19</v>
      </c>
      <c r="F95" s="4">
        <v>5988</v>
      </c>
      <c r="G95" s="4">
        <v>0.04</v>
      </c>
      <c r="H95" s="4">
        <v>17</v>
      </c>
      <c r="I95" s="4">
        <v>91.8</v>
      </c>
      <c r="J95" s="4">
        <v>5.75</v>
      </c>
      <c r="K95" s="4">
        <v>0</v>
      </c>
      <c r="L95" s="4">
        <v>4.7</v>
      </c>
      <c r="M95" s="4">
        <v>739852.58</v>
      </c>
      <c r="N95" s="4">
        <v>129386.43</v>
      </c>
    </row>
    <row r="96" spans="1:14" x14ac:dyDescent="0.35">
      <c r="A96" s="4" t="s">
        <v>46</v>
      </c>
      <c r="B96" s="5">
        <v>45748</v>
      </c>
      <c r="C96" s="4" t="s">
        <v>26</v>
      </c>
      <c r="D96" s="4" t="s">
        <v>30</v>
      </c>
      <c r="E96" s="4">
        <v>31207.51</v>
      </c>
      <c r="F96" s="4">
        <v>3701</v>
      </c>
      <c r="G96" s="4">
        <v>4.2999999999999997E-2</v>
      </c>
      <c r="H96" s="4">
        <v>11</v>
      </c>
      <c r="I96" s="4">
        <v>84.7</v>
      </c>
      <c r="J96" s="4">
        <v>0.33</v>
      </c>
      <c r="K96" s="4">
        <v>0</v>
      </c>
      <c r="L96" s="4">
        <v>4.3</v>
      </c>
      <c r="M96" s="4">
        <v>586307.22</v>
      </c>
      <c r="N96" s="4">
        <v>73927.850000000006</v>
      </c>
    </row>
    <row r="97" spans="1:14" x14ac:dyDescent="0.35">
      <c r="A97" s="4" t="s">
        <v>47</v>
      </c>
      <c r="B97" s="5">
        <v>45658</v>
      </c>
      <c r="C97" s="4" t="s">
        <v>29</v>
      </c>
      <c r="D97" s="4" t="s">
        <v>18</v>
      </c>
      <c r="E97" s="4">
        <v>38966.589999999997</v>
      </c>
      <c r="F97" s="4">
        <v>4509</v>
      </c>
      <c r="G97" s="4">
        <v>0.19400000000000001</v>
      </c>
      <c r="H97" s="4">
        <v>14</v>
      </c>
      <c r="I97" s="4">
        <v>91.1</v>
      </c>
      <c r="J97" s="4">
        <v>2.92</v>
      </c>
      <c r="K97" s="4">
        <v>0</v>
      </c>
      <c r="L97" s="4">
        <v>4.5999999999999996</v>
      </c>
      <c r="M97" s="4">
        <v>585937.48</v>
      </c>
      <c r="N97" s="4">
        <v>82624.2</v>
      </c>
    </row>
    <row r="98" spans="1:14" x14ac:dyDescent="0.35">
      <c r="A98" s="4" t="s">
        <v>47</v>
      </c>
      <c r="B98" s="5">
        <v>45689</v>
      </c>
      <c r="C98" s="4" t="s">
        <v>29</v>
      </c>
      <c r="D98" s="4" t="s">
        <v>18</v>
      </c>
      <c r="E98" s="4">
        <v>67439.3</v>
      </c>
      <c r="F98" s="4">
        <v>6477</v>
      </c>
      <c r="G98" s="4">
        <v>0</v>
      </c>
      <c r="H98" s="4">
        <v>16</v>
      </c>
      <c r="I98" s="4">
        <v>90.9</v>
      </c>
      <c r="J98" s="4">
        <v>1.64</v>
      </c>
      <c r="K98" s="4">
        <v>0</v>
      </c>
      <c r="L98" s="4">
        <v>4.5</v>
      </c>
      <c r="M98" s="4">
        <v>753473.55</v>
      </c>
      <c r="N98" s="4">
        <v>151527.22</v>
      </c>
    </row>
    <row r="99" spans="1:14" x14ac:dyDescent="0.35">
      <c r="A99" s="4" t="s">
        <v>47</v>
      </c>
      <c r="B99" s="5">
        <v>45717</v>
      </c>
      <c r="C99" s="4" t="s">
        <v>29</v>
      </c>
      <c r="D99" s="4" t="s">
        <v>18</v>
      </c>
      <c r="E99" s="4">
        <v>86421.88</v>
      </c>
      <c r="F99" s="4">
        <v>7970</v>
      </c>
      <c r="G99" s="4">
        <v>7.2999999999999995E-2</v>
      </c>
      <c r="H99" s="4">
        <v>17</v>
      </c>
      <c r="I99" s="4">
        <v>91.3</v>
      </c>
      <c r="J99" s="4">
        <v>0.8</v>
      </c>
      <c r="K99" s="4">
        <v>0</v>
      </c>
      <c r="L99" s="4">
        <v>5</v>
      </c>
      <c r="M99" s="4">
        <v>838250.32</v>
      </c>
      <c r="N99" s="4">
        <v>122939.34</v>
      </c>
    </row>
    <row r="100" spans="1:14" x14ac:dyDescent="0.35">
      <c r="A100" s="4" t="s">
        <v>47</v>
      </c>
      <c r="B100" s="5">
        <v>45748</v>
      </c>
      <c r="C100" s="4" t="s">
        <v>29</v>
      </c>
      <c r="D100" s="4" t="s">
        <v>18</v>
      </c>
      <c r="E100" s="4">
        <v>9534.65</v>
      </c>
      <c r="F100" s="4">
        <v>6057</v>
      </c>
      <c r="G100" s="4">
        <v>7.3999999999999996E-2</v>
      </c>
      <c r="H100" s="4">
        <v>15</v>
      </c>
      <c r="I100" s="4">
        <v>94.1</v>
      </c>
      <c r="J100" s="4">
        <v>5.79</v>
      </c>
      <c r="K100" s="4">
        <v>0</v>
      </c>
      <c r="L100" s="4">
        <v>4.5</v>
      </c>
      <c r="M100" s="4">
        <v>607898.12</v>
      </c>
      <c r="N100" s="4">
        <v>135404.85</v>
      </c>
    </row>
    <row r="101" spans="1:14" x14ac:dyDescent="0.35">
      <c r="A101" s="4" t="s">
        <v>48</v>
      </c>
      <c r="B101" s="5">
        <v>45658</v>
      </c>
      <c r="C101" s="4" t="s">
        <v>29</v>
      </c>
      <c r="D101" s="4" t="s">
        <v>30</v>
      </c>
      <c r="E101" s="4">
        <v>61132.07</v>
      </c>
      <c r="F101" s="4">
        <v>6394</v>
      </c>
      <c r="G101" s="4">
        <v>0.16300000000000001</v>
      </c>
      <c r="H101" s="4">
        <v>19</v>
      </c>
      <c r="I101" s="4">
        <v>91</v>
      </c>
      <c r="J101" s="4">
        <v>19.600000000000001</v>
      </c>
      <c r="K101" s="4">
        <v>0</v>
      </c>
      <c r="L101" s="4">
        <v>4.4000000000000004</v>
      </c>
      <c r="M101" s="4">
        <v>691113.62</v>
      </c>
      <c r="N101" s="4">
        <v>135145.44</v>
      </c>
    </row>
    <row r="102" spans="1:14" x14ac:dyDescent="0.35">
      <c r="A102" s="4" t="s">
        <v>48</v>
      </c>
      <c r="B102" s="5">
        <v>45689</v>
      </c>
      <c r="C102" s="4" t="s">
        <v>29</v>
      </c>
      <c r="D102" s="4" t="s">
        <v>30</v>
      </c>
      <c r="E102" s="4">
        <v>78839.39</v>
      </c>
      <c r="F102" s="4">
        <v>5150</v>
      </c>
      <c r="G102" s="4">
        <v>0.17100000000000001</v>
      </c>
      <c r="H102" s="4">
        <v>13</v>
      </c>
      <c r="I102" s="4">
        <v>85.8</v>
      </c>
      <c r="J102" s="4">
        <v>7.57</v>
      </c>
      <c r="K102" s="4">
        <v>0</v>
      </c>
      <c r="L102" s="4">
        <v>4.3</v>
      </c>
      <c r="M102" s="4">
        <v>735509.4</v>
      </c>
      <c r="N102" s="4">
        <v>83895.96</v>
      </c>
    </row>
    <row r="103" spans="1:14" x14ac:dyDescent="0.35">
      <c r="A103" s="4" t="s">
        <v>48</v>
      </c>
      <c r="B103" s="5">
        <v>45717</v>
      </c>
      <c r="C103" s="4" t="s">
        <v>29</v>
      </c>
      <c r="D103" s="4" t="s">
        <v>30</v>
      </c>
      <c r="E103" s="4">
        <v>38752.800000000003</v>
      </c>
      <c r="F103" s="4">
        <v>4712</v>
      </c>
      <c r="G103" s="4">
        <v>7.4999999999999997E-2</v>
      </c>
      <c r="H103" s="4">
        <v>15</v>
      </c>
      <c r="I103" s="4">
        <v>89.7</v>
      </c>
      <c r="J103" s="4"/>
      <c r="K103" s="4">
        <v>0</v>
      </c>
      <c r="L103" s="4">
        <v>4.3</v>
      </c>
      <c r="M103" s="4">
        <v>605775.32999999996</v>
      </c>
      <c r="N103" s="4">
        <v>107194.6</v>
      </c>
    </row>
    <row r="104" spans="1:14" x14ac:dyDescent="0.35">
      <c r="A104" s="4" t="s">
        <v>48</v>
      </c>
      <c r="B104" s="5">
        <v>45748</v>
      </c>
      <c r="C104" s="4" t="s">
        <v>29</v>
      </c>
      <c r="D104" s="4" t="s">
        <v>30</v>
      </c>
      <c r="E104" s="4">
        <v>55101.1</v>
      </c>
      <c r="F104" s="4">
        <v>5281</v>
      </c>
      <c r="G104" s="4">
        <v>0.189</v>
      </c>
      <c r="H104" s="4">
        <v>11</v>
      </c>
      <c r="I104" s="4">
        <v>91</v>
      </c>
      <c r="J104" s="4">
        <v>2.7</v>
      </c>
      <c r="K104" s="4">
        <v>0</v>
      </c>
      <c r="L104" s="4">
        <v>4.4000000000000004</v>
      </c>
      <c r="M104" s="4">
        <v>675177.68</v>
      </c>
      <c r="N104" s="4">
        <v>105628.68</v>
      </c>
    </row>
    <row r="105" spans="1:14" x14ac:dyDescent="0.35">
      <c r="A105" s="4" t="s">
        <v>49</v>
      </c>
      <c r="B105" s="5">
        <v>45658</v>
      </c>
      <c r="C105" s="4" t="s">
        <v>17</v>
      </c>
      <c r="D105" s="4" t="s">
        <v>30</v>
      </c>
      <c r="E105" s="4">
        <v>53084.76</v>
      </c>
      <c r="F105" s="4">
        <v>3642</v>
      </c>
      <c r="G105" s="4">
        <v>0.15</v>
      </c>
      <c r="H105" s="4">
        <v>12</v>
      </c>
      <c r="I105" s="4">
        <v>91.4</v>
      </c>
      <c r="J105" s="4">
        <v>0.2</v>
      </c>
      <c r="K105" s="4">
        <v>0</v>
      </c>
      <c r="L105" s="4">
        <v>4.4000000000000004</v>
      </c>
      <c r="M105" s="4">
        <v>635181.35</v>
      </c>
      <c r="N105" s="4">
        <v>83341.25</v>
      </c>
    </row>
    <row r="106" spans="1:14" x14ac:dyDescent="0.35">
      <c r="A106" s="4" t="s">
        <v>49</v>
      </c>
      <c r="B106" s="5">
        <v>45689</v>
      </c>
      <c r="C106" s="4" t="s">
        <v>17</v>
      </c>
      <c r="D106" s="4" t="s">
        <v>30</v>
      </c>
      <c r="E106" s="4">
        <v>63101.59</v>
      </c>
      <c r="F106" s="4">
        <v>4373</v>
      </c>
      <c r="G106" s="4">
        <v>0.17299999999999999</v>
      </c>
      <c r="H106" s="4">
        <v>14</v>
      </c>
      <c r="I106" s="4">
        <v>90.4</v>
      </c>
      <c r="J106" s="4">
        <v>7.87</v>
      </c>
      <c r="K106" s="4">
        <v>0</v>
      </c>
      <c r="L106" s="4">
        <v>4.7</v>
      </c>
      <c r="M106" s="4">
        <v>586626.93999999994</v>
      </c>
      <c r="N106" s="4">
        <v>86498.55</v>
      </c>
    </row>
    <row r="107" spans="1:14" x14ac:dyDescent="0.35">
      <c r="A107" s="4" t="s">
        <v>49</v>
      </c>
      <c r="B107" s="5">
        <v>45717</v>
      </c>
      <c r="C107" s="4" t="s">
        <v>17</v>
      </c>
      <c r="D107" s="4" t="s">
        <v>30</v>
      </c>
      <c r="E107" s="4">
        <v>90084.4</v>
      </c>
      <c r="F107" s="4">
        <v>6832</v>
      </c>
      <c r="G107" s="4">
        <v>0.185</v>
      </c>
      <c r="H107" s="4">
        <v>14</v>
      </c>
      <c r="I107" s="4">
        <v>80.5</v>
      </c>
      <c r="J107" s="4">
        <v>0.77</v>
      </c>
      <c r="K107" s="4">
        <v>1</v>
      </c>
      <c r="L107" s="4">
        <v>4.4000000000000004</v>
      </c>
      <c r="M107" s="4">
        <v>740102.64</v>
      </c>
      <c r="N107" s="4">
        <v>114299.07</v>
      </c>
    </row>
    <row r="108" spans="1:14" x14ac:dyDescent="0.35">
      <c r="A108" s="4" t="s">
        <v>49</v>
      </c>
      <c r="B108" s="5">
        <v>45748</v>
      </c>
      <c r="C108" s="4" t="s">
        <v>17</v>
      </c>
      <c r="D108" s="4" t="s">
        <v>30</v>
      </c>
      <c r="E108" s="4">
        <v>32266.639999999999</v>
      </c>
      <c r="F108" s="4">
        <v>2414</v>
      </c>
      <c r="G108" s="4">
        <v>0.08</v>
      </c>
      <c r="H108" s="4">
        <v>7</v>
      </c>
      <c r="I108" s="4">
        <v>92.1</v>
      </c>
      <c r="J108" s="4">
        <v>1.48</v>
      </c>
      <c r="K108" s="4">
        <v>0</v>
      </c>
      <c r="L108" s="4">
        <v>5</v>
      </c>
      <c r="M108" s="4">
        <v>625514.04</v>
      </c>
      <c r="N108" s="4">
        <v>120685.08</v>
      </c>
    </row>
    <row r="109" spans="1:14" x14ac:dyDescent="0.35">
      <c r="A109" s="4" t="s">
        <v>50</v>
      </c>
      <c r="B109" s="5">
        <v>45658</v>
      </c>
      <c r="C109" s="4" t="s">
        <v>29</v>
      </c>
      <c r="D109" s="4" t="s">
        <v>20</v>
      </c>
      <c r="E109" s="4">
        <v>57919.07</v>
      </c>
      <c r="F109" s="4">
        <v>7374</v>
      </c>
      <c r="G109" s="4">
        <v>0.10299999999999999</v>
      </c>
      <c r="H109" s="4">
        <v>21</v>
      </c>
      <c r="I109" s="4">
        <v>82.3</v>
      </c>
      <c r="J109" s="4">
        <v>2.87</v>
      </c>
      <c r="K109" s="4">
        <v>0</v>
      </c>
      <c r="L109" s="4">
        <v>2.9</v>
      </c>
      <c r="M109" s="4">
        <v>727227.2</v>
      </c>
      <c r="N109" s="4">
        <v>121292.01</v>
      </c>
    </row>
    <row r="110" spans="1:14" x14ac:dyDescent="0.35">
      <c r="A110" s="4" t="s">
        <v>50</v>
      </c>
      <c r="B110" s="5">
        <v>45689</v>
      </c>
      <c r="C110" s="4" t="s">
        <v>29</v>
      </c>
      <c r="D110" s="4" t="s">
        <v>20</v>
      </c>
      <c r="E110" s="4">
        <v>74679.350000000006</v>
      </c>
      <c r="F110" s="4">
        <v>8739</v>
      </c>
      <c r="G110" s="4">
        <v>5.6000000000000001E-2</v>
      </c>
      <c r="H110" s="4">
        <v>21</v>
      </c>
      <c r="I110" s="4">
        <v>91.8</v>
      </c>
      <c r="J110" s="4">
        <v>2.83</v>
      </c>
      <c r="K110" s="4">
        <v>0</v>
      </c>
      <c r="L110" s="4">
        <v>3</v>
      </c>
      <c r="M110" s="4">
        <v>783797.89</v>
      </c>
      <c r="N110" s="4">
        <v>157620.70000000001</v>
      </c>
    </row>
    <row r="111" spans="1:14" x14ac:dyDescent="0.35">
      <c r="A111" s="4" t="s">
        <v>50</v>
      </c>
      <c r="B111" s="5">
        <v>45717</v>
      </c>
      <c r="C111" s="4" t="s">
        <v>29</v>
      </c>
      <c r="D111" s="4" t="s">
        <v>20</v>
      </c>
      <c r="E111" s="4">
        <v>64294.23</v>
      </c>
      <c r="F111" s="4">
        <v>6992</v>
      </c>
      <c r="G111" s="4">
        <v>0.13300000000000001</v>
      </c>
      <c r="H111" s="4">
        <v>14</v>
      </c>
      <c r="I111" s="4">
        <v>94.1</v>
      </c>
      <c r="J111" s="4">
        <v>0.25</v>
      </c>
      <c r="K111" s="4">
        <v>0</v>
      </c>
      <c r="L111" s="4">
        <v>3</v>
      </c>
      <c r="M111" s="4">
        <v>795153.84</v>
      </c>
      <c r="N111" s="4">
        <v>143194.21</v>
      </c>
    </row>
    <row r="112" spans="1:14" x14ac:dyDescent="0.35">
      <c r="A112" s="4" t="s">
        <v>50</v>
      </c>
      <c r="B112" s="5">
        <v>45748</v>
      </c>
      <c r="C112" s="4" t="s">
        <v>29</v>
      </c>
      <c r="D112" s="4" t="s">
        <v>20</v>
      </c>
      <c r="E112" s="4">
        <v>31042.03</v>
      </c>
      <c r="F112" s="4">
        <v>7107</v>
      </c>
      <c r="G112" s="4">
        <v>5.0999999999999997E-2</v>
      </c>
      <c r="H112" s="4">
        <v>15</v>
      </c>
      <c r="I112" s="4">
        <v>87</v>
      </c>
      <c r="J112" s="4">
        <v>13.33</v>
      </c>
      <c r="K112" s="4">
        <v>0</v>
      </c>
      <c r="L112" s="4">
        <v>3.2</v>
      </c>
      <c r="M112" s="4">
        <v>665594.93999999994</v>
      </c>
      <c r="N112" s="4">
        <v>127597.34</v>
      </c>
    </row>
    <row r="113" spans="1:14" x14ac:dyDescent="0.35">
      <c r="A113" s="4" t="s">
        <v>51</v>
      </c>
      <c r="B113" s="5">
        <v>45658</v>
      </c>
      <c r="C113" s="4" t="s">
        <v>17</v>
      </c>
      <c r="D113" s="4" t="s">
        <v>30</v>
      </c>
      <c r="E113" s="4">
        <v>75265.02</v>
      </c>
      <c r="F113" s="4">
        <v>6975</v>
      </c>
      <c r="G113" s="4">
        <v>0.157</v>
      </c>
      <c r="H113" s="4">
        <v>20</v>
      </c>
      <c r="I113" s="4">
        <v>73.8</v>
      </c>
      <c r="J113" s="4">
        <v>6.35</v>
      </c>
      <c r="K113" s="4">
        <v>1</v>
      </c>
      <c r="L113" s="4">
        <v>3.8</v>
      </c>
      <c r="M113" s="4">
        <v>709478.39</v>
      </c>
      <c r="N113" s="4">
        <v>71294.27</v>
      </c>
    </row>
    <row r="114" spans="1:14" x14ac:dyDescent="0.35">
      <c r="A114" s="4" t="s">
        <v>51</v>
      </c>
      <c r="B114" s="5">
        <v>45689</v>
      </c>
      <c r="C114" s="4" t="s">
        <v>17</v>
      </c>
      <c r="D114" s="4" t="s">
        <v>30</v>
      </c>
      <c r="E114" s="4">
        <v>69411.7</v>
      </c>
      <c r="F114" s="4">
        <v>5493</v>
      </c>
      <c r="G114" s="4">
        <v>0.29199999999999998</v>
      </c>
      <c r="H114" s="4">
        <v>13</v>
      </c>
      <c r="I114" s="4">
        <v>86.5</v>
      </c>
      <c r="J114" s="4">
        <v>6.69</v>
      </c>
      <c r="K114" s="4">
        <v>0</v>
      </c>
      <c r="L114" s="4">
        <v>3.8</v>
      </c>
      <c r="M114" s="4">
        <v>664162.49</v>
      </c>
      <c r="N114" s="4">
        <v>98291.06</v>
      </c>
    </row>
    <row r="115" spans="1:14" x14ac:dyDescent="0.35">
      <c r="A115" s="4" t="s">
        <v>51</v>
      </c>
      <c r="B115" s="5">
        <v>45717</v>
      </c>
      <c r="C115" s="4" t="s">
        <v>17</v>
      </c>
      <c r="D115" s="4" t="s">
        <v>30</v>
      </c>
      <c r="E115" s="4">
        <v>51056.15</v>
      </c>
      <c r="F115" s="4">
        <v>5686</v>
      </c>
      <c r="G115" s="4">
        <v>8.8999999999999996E-2</v>
      </c>
      <c r="H115" s="4">
        <v>13</v>
      </c>
      <c r="I115" s="4">
        <v>89.9</v>
      </c>
      <c r="J115" s="4">
        <v>1.28</v>
      </c>
      <c r="K115" s="4">
        <v>0</v>
      </c>
      <c r="L115" s="4">
        <v>4.2</v>
      </c>
      <c r="M115" s="4">
        <v>633494.21</v>
      </c>
      <c r="N115" s="4">
        <v>105739.47</v>
      </c>
    </row>
    <row r="116" spans="1:14" x14ac:dyDescent="0.35">
      <c r="A116" s="4" t="s">
        <v>51</v>
      </c>
      <c r="B116" s="5">
        <v>45748</v>
      </c>
      <c r="C116" s="4" t="s">
        <v>17</v>
      </c>
      <c r="D116" s="4" t="s">
        <v>30</v>
      </c>
      <c r="E116" s="4">
        <v>52758.01</v>
      </c>
      <c r="F116" s="4">
        <v>4063</v>
      </c>
      <c r="G116" s="4">
        <v>5.7000000000000002E-2</v>
      </c>
      <c r="H116" s="4">
        <v>12</v>
      </c>
      <c r="I116" s="4">
        <v>91.7</v>
      </c>
      <c r="J116" s="4">
        <v>0.92</v>
      </c>
      <c r="K116" s="4">
        <v>0</v>
      </c>
      <c r="L116" s="4">
        <v>3.5</v>
      </c>
      <c r="M116" s="4">
        <v>713611.16</v>
      </c>
      <c r="N116" s="4">
        <v>129717.18</v>
      </c>
    </row>
    <row r="117" spans="1:14" x14ac:dyDescent="0.35">
      <c r="A117" s="4" t="s">
        <v>52</v>
      </c>
      <c r="B117" s="5">
        <v>45658</v>
      </c>
      <c r="C117" s="4" t="s">
        <v>29</v>
      </c>
      <c r="D117" s="4" t="s">
        <v>30</v>
      </c>
      <c r="E117" s="4">
        <v>61426.04</v>
      </c>
      <c r="F117" s="4">
        <v>8966</v>
      </c>
      <c r="G117" s="4">
        <v>0.17299999999999999</v>
      </c>
      <c r="H117" s="4">
        <v>22</v>
      </c>
      <c r="I117" s="4">
        <v>76.400000000000006</v>
      </c>
      <c r="J117" s="4">
        <v>1.05</v>
      </c>
      <c r="K117" s="4">
        <v>0</v>
      </c>
      <c r="L117" s="4">
        <v>3.1</v>
      </c>
      <c r="M117" s="4">
        <v>778397.97</v>
      </c>
      <c r="N117" s="4">
        <v>120044.41</v>
      </c>
    </row>
    <row r="118" spans="1:14" x14ac:dyDescent="0.35">
      <c r="A118" s="4" t="s">
        <v>52</v>
      </c>
      <c r="B118" s="5">
        <v>45689</v>
      </c>
      <c r="C118" s="4" t="s">
        <v>29</v>
      </c>
      <c r="D118" s="4" t="s">
        <v>30</v>
      </c>
      <c r="E118" s="4">
        <v>80176.34</v>
      </c>
      <c r="F118" s="4">
        <v>9489</v>
      </c>
      <c r="G118" s="4">
        <v>0.14199999999999999</v>
      </c>
      <c r="H118" s="4">
        <v>22</v>
      </c>
      <c r="I118" s="4">
        <v>94.3</v>
      </c>
      <c r="J118" s="4">
        <v>2.67</v>
      </c>
      <c r="K118" s="4">
        <v>0</v>
      </c>
      <c r="L118" s="4">
        <v>3.5</v>
      </c>
      <c r="M118" s="4">
        <v>873380.02</v>
      </c>
      <c r="N118" s="4">
        <v>149734.76</v>
      </c>
    </row>
    <row r="119" spans="1:14" x14ac:dyDescent="0.35">
      <c r="A119" s="4" t="s">
        <v>52</v>
      </c>
      <c r="B119" s="5">
        <v>45717</v>
      </c>
      <c r="C119" s="4" t="s">
        <v>29</v>
      </c>
      <c r="D119" s="4" t="s">
        <v>30</v>
      </c>
      <c r="E119" s="4">
        <v>33605.18</v>
      </c>
      <c r="F119" s="4">
        <v>9225</v>
      </c>
      <c r="G119" s="4">
        <v>0.159</v>
      </c>
      <c r="H119" s="4">
        <v>23</v>
      </c>
      <c r="I119" s="4">
        <v>88.4</v>
      </c>
      <c r="J119" s="4">
        <v>5.91</v>
      </c>
      <c r="K119" s="4">
        <v>0</v>
      </c>
      <c r="L119" s="4">
        <v>2.8</v>
      </c>
      <c r="M119" s="4">
        <v>697287.9</v>
      </c>
      <c r="N119" s="4">
        <v>128208.33</v>
      </c>
    </row>
    <row r="120" spans="1:14" x14ac:dyDescent="0.35">
      <c r="A120" s="4" t="s">
        <v>52</v>
      </c>
      <c r="B120" s="5">
        <v>45748</v>
      </c>
      <c r="C120" s="4" t="s">
        <v>29</v>
      </c>
      <c r="D120" s="4" t="s">
        <v>30</v>
      </c>
      <c r="E120" s="4">
        <v>25990.54</v>
      </c>
      <c r="F120" s="4">
        <v>9249</v>
      </c>
      <c r="G120" s="4">
        <v>0.13900000000000001</v>
      </c>
      <c r="H120" s="4">
        <v>23</v>
      </c>
      <c r="I120" s="4">
        <v>92.5</v>
      </c>
      <c r="J120" s="4">
        <v>6.37</v>
      </c>
      <c r="K120" s="4">
        <v>0</v>
      </c>
      <c r="L120" s="4">
        <v>3.3</v>
      </c>
      <c r="M120" s="4">
        <v>718074.79</v>
      </c>
      <c r="N120" s="4">
        <v>115819.87</v>
      </c>
    </row>
    <row r="121" spans="1:14" x14ac:dyDescent="0.35">
      <c r="A121" s="4" t="s">
        <v>53</v>
      </c>
      <c r="B121" s="5">
        <v>45658</v>
      </c>
      <c r="C121" s="4" t="s">
        <v>29</v>
      </c>
      <c r="D121" s="4" t="s">
        <v>18</v>
      </c>
      <c r="E121" s="4">
        <v>43685.14</v>
      </c>
      <c r="F121" s="4">
        <v>7821</v>
      </c>
      <c r="G121" s="4">
        <v>0.19</v>
      </c>
      <c r="H121" s="4">
        <v>17</v>
      </c>
      <c r="I121" s="4">
        <v>91</v>
      </c>
      <c r="J121" s="4">
        <v>2.4900000000000002</v>
      </c>
      <c r="K121" s="4">
        <v>1</v>
      </c>
      <c r="L121" s="4">
        <v>4.7</v>
      </c>
      <c r="M121" s="4">
        <v>714942.43</v>
      </c>
      <c r="N121" s="4">
        <v>94697.71</v>
      </c>
    </row>
    <row r="122" spans="1:14" x14ac:dyDescent="0.35">
      <c r="A122" s="4" t="s">
        <v>53</v>
      </c>
      <c r="B122" s="5">
        <v>45689</v>
      </c>
      <c r="C122" s="4" t="s">
        <v>29</v>
      </c>
      <c r="D122" s="4" t="s">
        <v>18</v>
      </c>
      <c r="E122" s="4">
        <v>57360.01</v>
      </c>
      <c r="F122" s="4">
        <v>8434</v>
      </c>
      <c r="G122" s="4">
        <v>0.151</v>
      </c>
      <c r="H122" s="4">
        <v>19</v>
      </c>
      <c r="I122" s="4">
        <v>84.1</v>
      </c>
      <c r="J122" s="4">
        <v>1.56</v>
      </c>
      <c r="K122" s="4">
        <v>0</v>
      </c>
      <c r="L122" s="4">
        <v>4.7</v>
      </c>
      <c r="M122" s="4">
        <v>820519.04</v>
      </c>
      <c r="N122" s="4">
        <v>99035.88</v>
      </c>
    </row>
    <row r="123" spans="1:14" x14ac:dyDescent="0.35">
      <c r="A123" s="4" t="s">
        <v>53</v>
      </c>
      <c r="B123" s="5">
        <v>45717</v>
      </c>
      <c r="C123" s="4" t="s">
        <v>29</v>
      </c>
      <c r="D123" s="4" t="s">
        <v>18</v>
      </c>
      <c r="E123" s="4">
        <v>42415.47</v>
      </c>
      <c r="F123" s="4">
        <v>8512</v>
      </c>
      <c r="G123" s="4">
        <v>0.13300000000000001</v>
      </c>
      <c r="H123" s="4">
        <v>18</v>
      </c>
      <c r="I123" s="4">
        <v>96.8</v>
      </c>
      <c r="J123" s="4">
        <v>14.95</v>
      </c>
      <c r="K123" s="4">
        <v>0</v>
      </c>
      <c r="L123" s="4">
        <v>4.5999999999999996</v>
      </c>
      <c r="M123" s="4">
        <v>684217.32</v>
      </c>
      <c r="N123" s="4">
        <v>136217.19</v>
      </c>
    </row>
    <row r="124" spans="1:14" x14ac:dyDescent="0.35">
      <c r="A124" s="4" t="s">
        <v>53</v>
      </c>
      <c r="B124" s="5">
        <v>45748</v>
      </c>
      <c r="C124" s="4" t="s">
        <v>29</v>
      </c>
      <c r="D124" s="4" t="s">
        <v>18</v>
      </c>
      <c r="E124" s="4">
        <v>54968.98</v>
      </c>
      <c r="F124" s="4">
        <v>7816</v>
      </c>
      <c r="G124" s="4">
        <v>0.23200000000000001</v>
      </c>
      <c r="H124" s="4">
        <v>19</v>
      </c>
      <c r="I124" s="4">
        <v>95.7</v>
      </c>
      <c r="J124" s="4">
        <v>7.85</v>
      </c>
      <c r="K124" s="4">
        <v>0</v>
      </c>
      <c r="L124" s="4">
        <v>4.7</v>
      </c>
      <c r="M124" s="4">
        <v>735480.19</v>
      </c>
      <c r="N124" s="4">
        <v>88342.11</v>
      </c>
    </row>
    <row r="125" spans="1:14" x14ac:dyDescent="0.35">
      <c r="A125" s="4" t="s">
        <v>54</v>
      </c>
      <c r="B125" s="5">
        <v>45658</v>
      </c>
      <c r="C125" s="4" t="s">
        <v>22</v>
      </c>
      <c r="D125" s="4" t="s">
        <v>20</v>
      </c>
      <c r="E125" s="4">
        <v>43896.13</v>
      </c>
      <c r="F125" s="4">
        <v>3853</v>
      </c>
      <c r="G125" s="4">
        <v>8.7999999999999995E-2</v>
      </c>
      <c r="H125" s="4">
        <v>13</v>
      </c>
      <c r="I125" s="4">
        <v>83</v>
      </c>
      <c r="J125" s="4">
        <v>6.8</v>
      </c>
      <c r="K125" s="4">
        <v>0</v>
      </c>
      <c r="L125" s="4">
        <v>4.4000000000000004</v>
      </c>
      <c r="M125" s="4">
        <v>509484.81</v>
      </c>
      <c r="N125" s="4">
        <v>85742.36</v>
      </c>
    </row>
    <row r="126" spans="1:14" x14ac:dyDescent="0.35">
      <c r="A126" s="4" t="s">
        <v>54</v>
      </c>
      <c r="B126" s="5">
        <v>45689</v>
      </c>
      <c r="C126" s="4" t="s">
        <v>22</v>
      </c>
      <c r="D126" s="4" t="s">
        <v>20</v>
      </c>
      <c r="E126" s="4">
        <v>83044.17</v>
      </c>
      <c r="F126" s="4">
        <v>3694</v>
      </c>
      <c r="G126" s="4">
        <v>0</v>
      </c>
      <c r="H126" s="4">
        <v>14</v>
      </c>
      <c r="I126" s="4">
        <v>89.4</v>
      </c>
      <c r="J126" s="4">
        <v>2.2000000000000002</v>
      </c>
      <c r="K126" s="4">
        <v>0</v>
      </c>
      <c r="L126" s="4">
        <v>3.7</v>
      </c>
      <c r="M126" s="4">
        <v>654317.09</v>
      </c>
      <c r="N126" s="4">
        <v>121446.89</v>
      </c>
    </row>
    <row r="127" spans="1:14" x14ac:dyDescent="0.35">
      <c r="A127" s="4" t="s">
        <v>54</v>
      </c>
      <c r="B127" s="5">
        <v>45717</v>
      </c>
      <c r="C127" s="4" t="s">
        <v>22</v>
      </c>
      <c r="D127" s="4" t="s">
        <v>20</v>
      </c>
      <c r="E127" s="4">
        <v>48396.13</v>
      </c>
      <c r="F127" s="4">
        <v>4423</v>
      </c>
      <c r="G127" s="4">
        <v>6.9000000000000006E-2</v>
      </c>
      <c r="H127" s="4">
        <v>15</v>
      </c>
      <c r="I127" s="4">
        <v>85.7</v>
      </c>
      <c r="J127" s="4">
        <v>1.88</v>
      </c>
      <c r="K127" s="4">
        <v>0</v>
      </c>
      <c r="L127" s="4">
        <v>3.9</v>
      </c>
      <c r="M127" s="4">
        <v>557487.26</v>
      </c>
      <c r="N127" s="4">
        <v>76432.19</v>
      </c>
    </row>
    <row r="128" spans="1:14" x14ac:dyDescent="0.35">
      <c r="A128" s="4" t="s">
        <v>54</v>
      </c>
      <c r="B128" s="5">
        <v>45748</v>
      </c>
      <c r="C128" s="4" t="s">
        <v>22</v>
      </c>
      <c r="D128" s="4" t="s">
        <v>20</v>
      </c>
      <c r="E128" s="4">
        <v>19063.48</v>
      </c>
      <c r="F128" s="4">
        <v>1906</v>
      </c>
      <c r="G128" s="4">
        <v>0.216</v>
      </c>
      <c r="H128" s="4">
        <v>10</v>
      </c>
      <c r="I128" s="4">
        <v>97.8</v>
      </c>
      <c r="J128" s="4">
        <v>15.79</v>
      </c>
      <c r="K128" s="4">
        <v>0</v>
      </c>
      <c r="L128" s="4">
        <v>4.4000000000000004</v>
      </c>
      <c r="M128" s="4">
        <v>441275.42</v>
      </c>
      <c r="N128" s="4">
        <v>58234.87</v>
      </c>
    </row>
    <row r="129" spans="1:14" x14ac:dyDescent="0.35">
      <c r="A129" s="4" t="s">
        <v>55</v>
      </c>
      <c r="B129" s="5">
        <v>45658</v>
      </c>
      <c r="C129" s="4" t="s">
        <v>26</v>
      </c>
      <c r="D129" s="4" t="s">
        <v>20</v>
      </c>
      <c r="E129" s="4">
        <v>61541.21</v>
      </c>
      <c r="F129" s="4">
        <v>10396</v>
      </c>
      <c r="G129" s="4">
        <v>0.123</v>
      </c>
      <c r="H129" s="4">
        <v>25</v>
      </c>
      <c r="I129" s="4">
        <v>88.1</v>
      </c>
      <c r="J129" s="4">
        <v>2.34</v>
      </c>
      <c r="K129" s="4">
        <v>1</v>
      </c>
      <c r="L129" s="4">
        <v>4.8</v>
      </c>
      <c r="M129" s="4">
        <v>914544.17</v>
      </c>
      <c r="N129" s="4">
        <v>79831.73</v>
      </c>
    </row>
    <row r="130" spans="1:14" x14ac:dyDescent="0.35">
      <c r="A130" s="4" t="s">
        <v>55</v>
      </c>
      <c r="B130" s="5">
        <v>45689</v>
      </c>
      <c r="C130" s="4" t="s">
        <v>26</v>
      </c>
      <c r="D130" s="4" t="s">
        <v>20</v>
      </c>
      <c r="E130" s="4">
        <v>44747</v>
      </c>
      <c r="F130" s="4">
        <v>11076</v>
      </c>
      <c r="G130" s="4">
        <v>0.17599999999999999</v>
      </c>
      <c r="H130" s="4">
        <v>27</v>
      </c>
      <c r="I130" s="4">
        <v>98.3</v>
      </c>
      <c r="J130" s="4">
        <v>0.54</v>
      </c>
      <c r="K130" s="4">
        <v>0</v>
      </c>
      <c r="L130" s="4">
        <v>4.4000000000000004</v>
      </c>
      <c r="M130" s="4">
        <v>842439.67</v>
      </c>
      <c r="N130" s="4">
        <v>169983.63</v>
      </c>
    </row>
    <row r="131" spans="1:14" x14ac:dyDescent="0.35">
      <c r="A131" s="4" t="s">
        <v>55</v>
      </c>
      <c r="B131" s="5">
        <v>45717</v>
      </c>
      <c r="C131" s="4" t="s">
        <v>26</v>
      </c>
      <c r="D131" s="4" t="s">
        <v>20</v>
      </c>
      <c r="E131" s="4">
        <v>56517.9</v>
      </c>
      <c r="F131" s="4">
        <v>9574</v>
      </c>
      <c r="G131" s="4">
        <v>0.20399999999999999</v>
      </c>
      <c r="H131" s="4">
        <v>20</v>
      </c>
      <c r="I131" s="4">
        <v>88.2</v>
      </c>
      <c r="J131" s="4">
        <v>5.37</v>
      </c>
      <c r="K131" s="4">
        <v>1</v>
      </c>
      <c r="L131" s="4">
        <v>4.9000000000000004</v>
      </c>
      <c r="M131" s="4">
        <v>842157.92</v>
      </c>
      <c r="N131" s="4">
        <v>107348.22</v>
      </c>
    </row>
    <row r="132" spans="1:14" x14ac:dyDescent="0.35">
      <c r="A132" s="4" t="s">
        <v>55</v>
      </c>
      <c r="B132" s="5">
        <v>45748</v>
      </c>
      <c r="C132" s="4" t="s">
        <v>26</v>
      </c>
      <c r="D132" s="4" t="s">
        <v>20</v>
      </c>
      <c r="E132" s="4">
        <v>37828.5</v>
      </c>
      <c r="F132" s="4">
        <v>8221</v>
      </c>
      <c r="G132" s="4">
        <v>9.6000000000000002E-2</v>
      </c>
      <c r="H132" s="4">
        <v>19</v>
      </c>
      <c r="I132" s="4">
        <v>81.5</v>
      </c>
      <c r="J132" s="4">
        <v>3.19</v>
      </c>
      <c r="K132" s="4">
        <v>0</v>
      </c>
      <c r="L132" s="4">
        <v>4.8</v>
      </c>
      <c r="M132" s="4">
        <v>697155.3</v>
      </c>
      <c r="N132" s="4">
        <v>136408.54</v>
      </c>
    </row>
    <row r="133" spans="1:14" x14ac:dyDescent="0.35">
      <c r="A133" s="4" t="s">
        <v>56</v>
      </c>
      <c r="B133" s="5">
        <v>45658</v>
      </c>
      <c r="C133" s="4" t="s">
        <v>17</v>
      </c>
      <c r="D133" s="4" t="s">
        <v>20</v>
      </c>
      <c r="E133" s="4">
        <v>66250.53</v>
      </c>
      <c r="F133" s="4">
        <v>10618</v>
      </c>
      <c r="G133" s="4">
        <v>0.14199999999999999</v>
      </c>
      <c r="H133" s="4">
        <v>27</v>
      </c>
      <c r="I133" s="4">
        <v>88.3</v>
      </c>
      <c r="J133" s="4">
        <v>1.1000000000000001</v>
      </c>
      <c r="K133" s="4">
        <v>1</v>
      </c>
      <c r="L133" s="4">
        <v>4.4000000000000004</v>
      </c>
      <c r="M133" s="4">
        <v>849018.3</v>
      </c>
      <c r="N133" s="4">
        <v>149035.13</v>
      </c>
    </row>
    <row r="134" spans="1:14" x14ac:dyDescent="0.35">
      <c r="A134" s="4" t="s">
        <v>56</v>
      </c>
      <c r="B134" s="5">
        <v>45689</v>
      </c>
      <c r="C134" s="4" t="s">
        <v>17</v>
      </c>
      <c r="D134" s="4" t="s">
        <v>20</v>
      </c>
      <c r="E134" s="4">
        <v>68410.929999999993</v>
      </c>
      <c r="F134" s="4">
        <v>10596</v>
      </c>
      <c r="G134" s="4">
        <v>0.20699999999999999</v>
      </c>
      <c r="H134" s="4">
        <v>25</v>
      </c>
      <c r="I134" s="4">
        <v>81.2</v>
      </c>
      <c r="J134" s="4">
        <v>0.21</v>
      </c>
      <c r="K134" s="4">
        <v>0</v>
      </c>
      <c r="L134" s="4">
        <v>4</v>
      </c>
      <c r="M134" s="4">
        <v>801830.35</v>
      </c>
      <c r="N134" s="4">
        <v>114875.32</v>
      </c>
    </row>
    <row r="135" spans="1:14" x14ac:dyDescent="0.35">
      <c r="A135" s="4" t="s">
        <v>56</v>
      </c>
      <c r="B135" s="5">
        <v>45717</v>
      </c>
      <c r="C135" s="4" t="s">
        <v>17</v>
      </c>
      <c r="D135" s="4" t="s">
        <v>20</v>
      </c>
      <c r="E135" s="4">
        <v>50735.63</v>
      </c>
      <c r="F135" s="4">
        <v>9619</v>
      </c>
      <c r="G135" s="4">
        <v>0.14399999999999999</v>
      </c>
      <c r="H135" s="4">
        <v>19</v>
      </c>
      <c r="I135" s="4">
        <v>93.8</v>
      </c>
      <c r="J135" s="4">
        <v>5.12</v>
      </c>
      <c r="K135" s="4">
        <v>1</v>
      </c>
      <c r="L135" s="4">
        <v>4.5</v>
      </c>
      <c r="M135" s="4">
        <v>725235.28</v>
      </c>
      <c r="N135" s="4">
        <v>121632.24</v>
      </c>
    </row>
    <row r="136" spans="1:14" x14ac:dyDescent="0.35">
      <c r="A136" s="4" t="s">
        <v>56</v>
      </c>
      <c r="B136" s="5">
        <v>45748</v>
      </c>
      <c r="C136" s="4" t="s">
        <v>17</v>
      </c>
      <c r="D136" s="4" t="s">
        <v>20</v>
      </c>
      <c r="E136" s="4">
        <v>66455.8</v>
      </c>
      <c r="F136" s="4">
        <v>10836</v>
      </c>
      <c r="G136" s="4">
        <v>8.8999999999999996E-2</v>
      </c>
      <c r="H136" s="4">
        <v>25</v>
      </c>
      <c r="I136" s="4">
        <v>85</v>
      </c>
      <c r="J136" s="4">
        <v>9.77</v>
      </c>
      <c r="K136" s="4">
        <v>0</v>
      </c>
      <c r="L136" s="4">
        <v>4.5</v>
      </c>
      <c r="M136" s="4">
        <v>811452.72</v>
      </c>
      <c r="N136" s="4">
        <v>131325.67000000001</v>
      </c>
    </row>
    <row r="137" spans="1:14" x14ac:dyDescent="0.35">
      <c r="A137" s="4" t="s">
        <v>57</v>
      </c>
      <c r="B137" s="5">
        <v>45658</v>
      </c>
      <c r="C137" s="4" t="s">
        <v>22</v>
      </c>
      <c r="D137" s="4" t="s">
        <v>20</v>
      </c>
      <c r="E137" s="4">
        <v>70276.28</v>
      </c>
      <c r="F137" s="4">
        <v>3043</v>
      </c>
      <c r="G137" s="4">
        <v>7.9000000000000001E-2</v>
      </c>
      <c r="H137" s="4">
        <v>9</v>
      </c>
      <c r="I137" s="4">
        <v>87.9</v>
      </c>
      <c r="J137" s="4">
        <v>3.77</v>
      </c>
      <c r="K137" s="4">
        <v>0</v>
      </c>
      <c r="L137" s="4">
        <v>4.4000000000000004</v>
      </c>
      <c r="M137" s="4">
        <v>527300.13</v>
      </c>
      <c r="N137" s="4">
        <v>84197.87</v>
      </c>
    </row>
    <row r="138" spans="1:14" x14ac:dyDescent="0.35">
      <c r="A138" s="4" t="s">
        <v>57</v>
      </c>
      <c r="B138" s="5">
        <v>45689</v>
      </c>
      <c r="C138" s="4" t="s">
        <v>22</v>
      </c>
      <c r="D138" s="4" t="s">
        <v>20</v>
      </c>
      <c r="E138" s="4">
        <v>22071.64</v>
      </c>
      <c r="F138" s="4">
        <v>1814</v>
      </c>
      <c r="G138" s="4">
        <v>0.19600000000000001</v>
      </c>
      <c r="H138" s="4">
        <v>8</v>
      </c>
      <c r="I138" s="4">
        <v>81.099999999999994</v>
      </c>
      <c r="J138" s="4">
        <v>0.78</v>
      </c>
      <c r="K138" s="4">
        <v>0</v>
      </c>
      <c r="L138" s="4"/>
      <c r="M138" s="4">
        <v>400831.65</v>
      </c>
      <c r="N138" s="4">
        <v>70979.31</v>
      </c>
    </row>
    <row r="139" spans="1:14" x14ac:dyDescent="0.35">
      <c r="A139" s="4" t="s">
        <v>57</v>
      </c>
      <c r="B139" s="5">
        <v>45717</v>
      </c>
      <c r="C139" s="4" t="s">
        <v>22</v>
      </c>
      <c r="D139" s="4" t="s">
        <v>20</v>
      </c>
      <c r="E139" s="4">
        <v>52285.45</v>
      </c>
      <c r="F139" s="4">
        <v>3618</v>
      </c>
      <c r="G139" s="4">
        <v>8.5999999999999993E-2</v>
      </c>
      <c r="H139" s="4">
        <v>11</v>
      </c>
      <c r="I139" s="4">
        <v>95.6</v>
      </c>
      <c r="J139" s="4">
        <v>5.17</v>
      </c>
      <c r="K139" s="4">
        <v>1</v>
      </c>
      <c r="L139" s="4">
        <v>4.4000000000000004</v>
      </c>
      <c r="M139" s="4">
        <v>593247.25</v>
      </c>
      <c r="N139" s="4">
        <v>81240.289999999994</v>
      </c>
    </row>
    <row r="140" spans="1:14" x14ac:dyDescent="0.35">
      <c r="A140" s="4" t="s">
        <v>57</v>
      </c>
      <c r="B140" s="5">
        <v>45748</v>
      </c>
      <c r="C140" s="4" t="s">
        <v>22</v>
      </c>
      <c r="D140" s="4" t="s">
        <v>20</v>
      </c>
      <c r="E140" s="4">
        <v>70366.759999999995</v>
      </c>
      <c r="F140" s="4">
        <v>1963</v>
      </c>
      <c r="G140" s="4">
        <v>0.182</v>
      </c>
      <c r="H140" s="4">
        <v>8</v>
      </c>
      <c r="I140" s="4">
        <v>89.8</v>
      </c>
      <c r="J140" s="4">
        <v>3.2</v>
      </c>
      <c r="K140" s="4">
        <v>0</v>
      </c>
      <c r="L140" s="4">
        <v>4.5999999999999996</v>
      </c>
      <c r="M140" s="4">
        <v>529075.94999999995</v>
      </c>
      <c r="N140" s="4">
        <v>95978.83</v>
      </c>
    </row>
    <row r="141" spans="1:14" x14ac:dyDescent="0.35">
      <c r="A141" s="4" t="s">
        <v>58</v>
      </c>
      <c r="B141" s="5">
        <v>45658</v>
      </c>
      <c r="C141" s="4" t="s">
        <v>26</v>
      </c>
      <c r="D141" s="4" t="s">
        <v>18</v>
      </c>
      <c r="E141" s="4">
        <v>71320.66</v>
      </c>
      <c r="F141" s="4">
        <v>7888</v>
      </c>
      <c r="G141" s="4">
        <v>4.8000000000000001E-2</v>
      </c>
      <c r="H141" s="4">
        <v>20</v>
      </c>
      <c r="I141" s="4">
        <v>78.099999999999994</v>
      </c>
      <c r="J141" s="4">
        <v>3.4</v>
      </c>
      <c r="K141" s="4">
        <v>0</v>
      </c>
      <c r="L141" s="4"/>
      <c r="M141" s="4">
        <v>633638.03</v>
      </c>
      <c r="N141" s="4">
        <v>99402.01</v>
      </c>
    </row>
    <row r="142" spans="1:14" x14ac:dyDescent="0.35">
      <c r="A142" s="4" t="s">
        <v>58</v>
      </c>
      <c r="B142" s="5">
        <v>45689</v>
      </c>
      <c r="C142" s="4" t="s">
        <v>26</v>
      </c>
      <c r="D142" s="4" t="s">
        <v>18</v>
      </c>
      <c r="E142" s="4">
        <v>75109.67</v>
      </c>
      <c r="F142" s="4">
        <v>6244</v>
      </c>
      <c r="G142" s="4">
        <v>7.9000000000000001E-2</v>
      </c>
      <c r="H142" s="4">
        <v>15</v>
      </c>
      <c r="I142" s="4">
        <v>96.3</v>
      </c>
      <c r="J142" s="4">
        <v>7.38</v>
      </c>
      <c r="K142" s="4">
        <v>0</v>
      </c>
      <c r="L142" s="4">
        <v>3.7</v>
      </c>
      <c r="M142" s="4">
        <v>743348.84</v>
      </c>
      <c r="N142" s="4">
        <v>104186.09</v>
      </c>
    </row>
    <row r="143" spans="1:14" x14ac:dyDescent="0.35">
      <c r="A143" s="4" t="s">
        <v>58</v>
      </c>
      <c r="B143" s="5">
        <v>45717</v>
      </c>
      <c r="C143" s="4" t="s">
        <v>26</v>
      </c>
      <c r="D143" s="4" t="s">
        <v>18</v>
      </c>
      <c r="E143" s="4">
        <v>69779</v>
      </c>
      <c r="F143" s="4">
        <v>6544</v>
      </c>
      <c r="G143" s="4">
        <v>0.152</v>
      </c>
      <c r="H143" s="4">
        <v>18</v>
      </c>
      <c r="I143" s="4">
        <v>90.2</v>
      </c>
      <c r="J143" s="4">
        <v>0.85</v>
      </c>
      <c r="K143" s="4">
        <v>1</v>
      </c>
      <c r="L143" s="4">
        <v>3.3</v>
      </c>
      <c r="M143" s="4">
        <v>758827.64</v>
      </c>
      <c r="N143" s="4">
        <v>161439.48000000001</v>
      </c>
    </row>
    <row r="144" spans="1:14" x14ac:dyDescent="0.35">
      <c r="A144" s="4" t="s">
        <v>58</v>
      </c>
      <c r="B144" s="5">
        <v>45748</v>
      </c>
      <c r="C144" s="4" t="s">
        <v>26</v>
      </c>
      <c r="D144" s="4" t="s">
        <v>18</v>
      </c>
      <c r="E144" s="4">
        <v>44211.95</v>
      </c>
      <c r="F144" s="4">
        <v>5465</v>
      </c>
      <c r="G144" s="4">
        <v>0.187</v>
      </c>
      <c r="H144" s="4">
        <v>12</v>
      </c>
      <c r="I144" s="4">
        <v>90</v>
      </c>
      <c r="J144" s="4">
        <v>2.89</v>
      </c>
      <c r="K144" s="4">
        <v>0</v>
      </c>
      <c r="L144" s="4">
        <v>3.6</v>
      </c>
      <c r="M144" s="4">
        <v>646559.71</v>
      </c>
      <c r="N144" s="4">
        <v>97981.75</v>
      </c>
    </row>
    <row r="145" spans="1:14" x14ac:dyDescent="0.35">
      <c r="A145" s="4" t="s">
        <v>59</v>
      </c>
      <c r="B145" s="5">
        <v>45658</v>
      </c>
      <c r="C145" s="4" t="s">
        <v>29</v>
      </c>
      <c r="D145" s="4" t="s">
        <v>20</v>
      </c>
      <c r="E145" s="4">
        <v>51430.31</v>
      </c>
      <c r="F145" s="4">
        <v>6427</v>
      </c>
      <c r="G145" s="4">
        <v>0.23400000000000001</v>
      </c>
      <c r="H145" s="4">
        <v>14</v>
      </c>
      <c r="I145" s="4">
        <v>88.8</v>
      </c>
      <c r="J145" s="4">
        <v>0.77</v>
      </c>
      <c r="K145" s="4">
        <v>0</v>
      </c>
      <c r="L145" s="4">
        <v>4.0999999999999996</v>
      </c>
      <c r="M145" s="4">
        <v>715890.53</v>
      </c>
      <c r="N145" s="4">
        <v>109032.15</v>
      </c>
    </row>
    <row r="146" spans="1:14" x14ac:dyDescent="0.35">
      <c r="A146" s="4" t="s">
        <v>59</v>
      </c>
      <c r="B146" s="5">
        <v>45689</v>
      </c>
      <c r="C146" s="4" t="s">
        <v>29</v>
      </c>
      <c r="D146" s="4" t="s">
        <v>20</v>
      </c>
      <c r="E146" s="4">
        <v>45706.49</v>
      </c>
      <c r="F146" s="4">
        <v>6704</v>
      </c>
      <c r="G146" s="4">
        <v>3.7999999999999999E-2</v>
      </c>
      <c r="H146" s="4">
        <v>15</v>
      </c>
      <c r="I146" s="4">
        <v>94.2</v>
      </c>
      <c r="J146" s="4">
        <v>2.92</v>
      </c>
      <c r="K146" s="4">
        <v>0</v>
      </c>
      <c r="L146" s="4">
        <v>4.2</v>
      </c>
      <c r="M146" s="4">
        <v>715097.57</v>
      </c>
      <c r="N146" s="4">
        <v>151875.85999999999</v>
      </c>
    </row>
    <row r="147" spans="1:14" x14ac:dyDescent="0.35">
      <c r="A147" s="4" t="s">
        <v>59</v>
      </c>
      <c r="B147" s="5">
        <v>45717</v>
      </c>
      <c r="C147" s="4" t="s">
        <v>29</v>
      </c>
      <c r="D147" s="4" t="s">
        <v>20</v>
      </c>
      <c r="E147" s="4">
        <v>44034.6</v>
      </c>
      <c r="F147" s="4">
        <v>5645</v>
      </c>
      <c r="G147" s="4">
        <v>6.9000000000000006E-2</v>
      </c>
      <c r="H147" s="4">
        <v>18</v>
      </c>
      <c r="I147" s="4">
        <v>88.5</v>
      </c>
      <c r="J147" s="4">
        <v>3.07</v>
      </c>
      <c r="K147" s="4">
        <v>0</v>
      </c>
      <c r="L147" s="4">
        <v>3.8</v>
      </c>
      <c r="M147" s="4">
        <v>682639.28</v>
      </c>
      <c r="N147" s="4">
        <v>77557.53</v>
      </c>
    </row>
    <row r="148" spans="1:14" x14ac:dyDescent="0.35">
      <c r="A148" s="4" t="s">
        <v>59</v>
      </c>
      <c r="B148" s="5">
        <v>45748</v>
      </c>
      <c r="C148" s="4" t="s">
        <v>29</v>
      </c>
      <c r="D148" s="4" t="s">
        <v>20</v>
      </c>
      <c r="E148" s="4">
        <v>50198.12</v>
      </c>
      <c r="F148" s="4">
        <v>6089</v>
      </c>
      <c r="G148" s="4">
        <v>0.182</v>
      </c>
      <c r="H148" s="4">
        <v>19</v>
      </c>
      <c r="I148" s="4">
        <v>94</v>
      </c>
      <c r="J148" s="4">
        <v>9.6999999999999993</v>
      </c>
      <c r="K148" s="4">
        <v>0</v>
      </c>
      <c r="L148" s="4">
        <v>3.9</v>
      </c>
      <c r="M148" s="4">
        <v>695098.51</v>
      </c>
      <c r="N148" s="4">
        <v>108192.75</v>
      </c>
    </row>
    <row r="149" spans="1:14" x14ac:dyDescent="0.35">
      <c r="A149" s="4" t="s">
        <v>60</v>
      </c>
      <c r="B149" s="5">
        <v>45658</v>
      </c>
      <c r="C149" s="4" t="s">
        <v>22</v>
      </c>
      <c r="D149" s="4" t="s">
        <v>18</v>
      </c>
      <c r="E149" s="4">
        <v>70488.2</v>
      </c>
      <c r="F149" s="4">
        <v>4312</v>
      </c>
      <c r="G149" s="4">
        <v>0.16900000000000001</v>
      </c>
      <c r="H149" s="4">
        <v>12</v>
      </c>
      <c r="I149" s="4">
        <v>90.2</v>
      </c>
      <c r="J149" s="4">
        <v>3.71</v>
      </c>
      <c r="K149" s="4">
        <v>0</v>
      </c>
      <c r="L149" s="4">
        <v>3.2</v>
      </c>
      <c r="M149" s="4">
        <v>577732.56999999995</v>
      </c>
      <c r="N149" s="4">
        <v>93804.27</v>
      </c>
    </row>
    <row r="150" spans="1:14" x14ac:dyDescent="0.35">
      <c r="A150" s="4" t="s">
        <v>60</v>
      </c>
      <c r="B150" s="5">
        <v>45689</v>
      </c>
      <c r="C150" s="4" t="s">
        <v>22</v>
      </c>
      <c r="D150" s="4" t="s">
        <v>18</v>
      </c>
      <c r="E150" s="4">
        <v>50909.27</v>
      </c>
      <c r="F150" s="4">
        <v>3152</v>
      </c>
      <c r="G150" s="4">
        <v>0.06</v>
      </c>
      <c r="H150" s="4">
        <v>13</v>
      </c>
      <c r="I150" s="4">
        <v>93.7</v>
      </c>
      <c r="J150" s="4">
        <v>10.79</v>
      </c>
      <c r="K150" s="4">
        <v>0</v>
      </c>
      <c r="L150" s="4">
        <v>3.5</v>
      </c>
      <c r="M150" s="4">
        <v>537058.32999999996</v>
      </c>
      <c r="N150" s="4">
        <v>93555.71</v>
      </c>
    </row>
    <row r="151" spans="1:14" x14ac:dyDescent="0.35">
      <c r="A151" s="4" t="s">
        <v>60</v>
      </c>
      <c r="B151" s="5">
        <v>45717</v>
      </c>
      <c r="C151" s="4" t="s">
        <v>22</v>
      </c>
      <c r="D151" s="4" t="s">
        <v>18</v>
      </c>
      <c r="E151" s="4">
        <v>53351.7</v>
      </c>
      <c r="F151" s="4">
        <v>4259</v>
      </c>
      <c r="G151" s="4">
        <v>0.156</v>
      </c>
      <c r="H151" s="4">
        <v>15</v>
      </c>
      <c r="I151" s="4">
        <v>93.7</v>
      </c>
      <c r="J151" s="4">
        <v>6.03</v>
      </c>
      <c r="K151" s="4">
        <v>0</v>
      </c>
      <c r="L151" s="4">
        <v>3.4</v>
      </c>
      <c r="M151" s="4">
        <v>601568.87</v>
      </c>
      <c r="N151" s="4">
        <v>91634.82</v>
      </c>
    </row>
    <row r="152" spans="1:14" x14ac:dyDescent="0.35">
      <c r="A152" s="4" t="s">
        <v>60</v>
      </c>
      <c r="B152" s="5">
        <v>45748</v>
      </c>
      <c r="C152" s="4" t="s">
        <v>22</v>
      </c>
      <c r="D152" s="4" t="s">
        <v>18</v>
      </c>
      <c r="E152" s="4">
        <v>60322.400000000001</v>
      </c>
      <c r="F152" s="4">
        <v>3350</v>
      </c>
      <c r="G152" s="4">
        <v>0.108</v>
      </c>
      <c r="H152" s="4">
        <v>12</v>
      </c>
      <c r="I152" s="4">
        <v>89.4</v>
      </c>
      <c r="J152" s="4">
        <v>4.92</v>
      </c>
      <c r="K152" s="4">
        <v>0</v>
      </c>
      <c r="L152" s="4">
        <v>3.4</v>
      </c>
      <c r="M152" s="4">
        <v>570964.84</v>
      </c>
      <c r="N152" s="4">
        <v>81331.070000000007</v>
      </c>
    </row>
    <row r="153" spans="1:14" x14ac:dyDescent="0.35">
      <c r="A153" s="4" t="s">
        <v>61</v>
      </c>
      <c r="B153" s="5">
        <v>45658</v>
      </c>
      <c r="C153" s="4" t="s">
        <v>26</v>
      </c>
      <c r="D153" s="4" t="s">
        <v>30</v>
      </c>
      <c r="E153" s="4">
        <v>51575.68</v>
      </c>
      <c r="F153" s="4">
        <v>5329</v>
      </c>
      <c r="G153" s="4">
        <v>4.7E-2</v>
      </c>
      <c r="H153" s="4">
        <v>17</v>
      </c>
      <c r="I153" s="4">
        <v>88.1</v>
      </c>
      <c r="J153" s="4">
        <v>19.78</v>
      </c>
      <c r="K153" s="4">
        <v>0</v>
      </c>
      <c r="L153" s="4">
        <v>3.8</v>
      </c>
      <c r="M153" s="4">
        <v>614024.91</v>
      </c>
      <c r="N153" s="4">
        <v>84828.93</v>
      </c>
    </row>
    <row r="154" spans="1:14" x14ac:dyDescent="0.35">
      <c r="A154" s="4" t="s">
        <v>61</v>
      </c>
      <c r="B154" s="5">
        <v>45689</v>
      </c>
      <c r="C154" s="4" t="s">
        <v>26</v>
      </c>
      <c r="D154" s="4" t="s">
        <v>30</v>
      </c>
      <c r="E154" s="4">
        <v>43319.94</v>
      </c>
      <c r="F154" s="4">
        <v>6551</v>
      </c>
      <c r="G154" s="4">
        <v>4.3999999999999997E-2</v>
      </c>
      <c r="H154" s="4">
        <v>13</v>
      </c>
      <c r="I154" s="4">
        <v>99</v>
      </c>
      <c r="J154" s="4">
        <v>5.45</v>
      </c>
      <c r="K154" s="4">
        <v>0</v>
      </c>
      <c r="L154" s="4">
        <v>4.0999999999999996</v>
      </c>
      <c r="M154" s="4">
        <v>712868.35</v>
      </c>
      <c r="N154" s="4">
        <v>133650.51</v>
      </c>
    </row>
    <row r="155" spans="1:14" x14ac:dyDescent="0.35">
      <c r="A155" s="4" t="s">
        <v>61</v>
      </c>
      <c r="B155" s="5">
        <v>45717</v>
      </c>
      <c r="C155" s="4" t="s">
        <v>26</v>
      </c>
      <c r="D155" s="4" t="s">
        <v>30</v>
      </c>
      <c r="E155" s="4">
        <v>47093.55</v>
      </c>
      <c r="F155" s="4">
        <v>5550</v>
      </c>
      <c r="G155" s="4">
        <v>0.1</v>
      </c>
      <c r="H155" s="4">
        <v>12</v>
      </c>
      <c r="I155" s="4">
        <v>95</v>
      </c>
      <c r="J155" s="4">
        <v>2.33</v>
      </c>
      <c r="K155" s="4">
        <v>1</v>
      </c>
      <c r="L155" s="4">
        <v>3.7</v>
      </c>
      <c r="M155" s="4">
        <v>696744.15</v>
      </c>
      <c r="N155" s="4">
        <v>152230.09</v>
      </c>
    </row>
    <row r="156" spans="1:14" x14ac:dyDescent="0.35">
      <c r="A156" s="4" t="s">
        <v>61</v>
      </c>
      <c r="B156" s="5">
        <v>45748</v>
      </c>
      <c r="C156" s="4" t="s">
        <v>26</v>
      </c>
      <c r="D156" s="4" t="s">
        <v>30</v>
      </c>
      <c r="E156" s="4">
        <v>71855.09</v>
      </c>
      <c r="F156" s="4">
        <v>5911</v>
      </c>
      <c r="G156" s="4">
        <v>0.19700000000000001</v>
      </c>
      <c r="H156" s="4">
        <v>15</v>
      </c>
      <c r="I156" s="4">
        <v>94.3</v>
      </c>
      <c r="J156" s="4">
        <v>3.55</v>
      </c>
      <c r="K156" s="4">
        <v>0</v>
      </c>
      <c r="L156" s="4">
        <v>4.0999999999999996</v>
      </c>
      <c r="M156" s="4">
        <v>725847.99</v>
      </c>
      <c r="N156" s="4">
        <v>122698.73</v>
      </c>
    </row>
    <row r="157" spans="1:14" x14ac:dyDescent="0.35">
      <c r="A157" s="4" t="s">
        <v>62</v>
      </c>
      <c r="B157" s="5">
        <v>45658</v>
      </c>
      <c r="C157" s="4" t="s">
        <v>17</v>
      </c>
      <c r="D157" s="4" t="s">
        <v>20</v>
      </c>
      <c r="E157" s="4">
        <v>75645.23</v>
      </c>
      <c r="F157" s="4">
        <v>9674</v>
      </c>
      <c r="G157" s="4">
        <v>0.23400000000000001</v>
      </c>
      <c r="H157" s="4">
        <v>21</v>
      </c>
      <c r="I157" s="4">
        <v>87.4</v>
      </c>
      <c r="J157" s="4">
        <v>0.2</v>
      </c>
      <c r="K157" s="4">
        <v>0</v>
      </c>
      <c r="L157" s="4">
        <v>4.5</v>
      </c>
      <c r="M157" s="4">
        <v>785028.25</v>
      </c>
      <c r="N157" s="4">
        <v>110726.44</v>
      </c>
    </row>
    <row r="158" spans="1:14" x14ac:dyDescent="0.35">
      <c r="A158" s="4" t="s">
        <v>62</v>
      </c>
      <c r="B158" s="5">
        <v>45689</v>
      </c>
      <c r="C158" s="4" t="s">
        <v>17</v>
      </c>
      <c r="D158" s="4" t="s">
        <v>20</v>
      </c>
      <c r="E158" s="4">
        <v>64374.75</v>
      </c>
      <c r="F158" s="4">
        <v>6740</v>
      </c>
      <c r="G158" s="4">
        <v>0.16900000000000001</v>
      </c>
      <c r="H158" s="4">
        <v>18</v>
      </c>
      <c r="I158" s="4">
        <v>87</v>
      </c>
      <c r="J158" s="4">
        <v>2.09</v>
      </c>
      <c r="K158" s="4">
        <v>0</v>
      </c>
      <c r="L158" s="4">
        <v>4.2</v>
      </c>
      <c r="M158" s="4">
        <v>698492.67</v>
      </c>
      <c r="N158" s="4">
        <v>117319.32</v>
      </c>
    </row>
    <row r="159" spans="1:14" x14ac:dyDescent="0.35">
      <c r="A159" s="4" t="s">
        <v>62</v>
      </c>
      <c r="B159" s="5">
        <v>45717</v>
      </c>
      <c r="C159" s="4" t="s">
        <v>17</v>
      </c>
      <c r="D159" s="4" t="s">
        <v>20</v>
      </c>
      <c r="E159" s="4">
        <v>61433.84</v>
      </c>
      <c r="F159" s="4">
        <v>7745</v>
      </c>
      <c r="G159" s="4">
        <v>0.18</v>
      </c>
      <c r="H159" s="4">
        <v>16</v>
      </c>
      <c r="I159" s="4">
        <v>90.5</v>
      </c>
      <c r="J159" s="4">
        <v>2.2599999999999998</v>
      </c>
      <c r="K159" s="4">
        <v>0</v>
      </c>
      <c r="L159" s="4">
        <v>4.2</v>
      </c>
      <c r="M159" s="4">
        <v>685830.24</v>
      </c>
      <c r="N159" s="4">
        <v>128736.18</v>
      </c>
    </row>
    <row r="160" spans="1:14" x14ac:dyDescent="0.35">
      <c r="A160" s="4" t="s">
        <v>62</v>
      </c>
      <c r="B160" s="5">
        <v>45748</v>
      </c>
      <c r="C160" s="4" t="s">
        <v>17</v>
      </c>
      <c r="D160" s="4" t="s">
        <v>20</v>
      </c>
      <c r="E160" s="4">
        <v>42698.14</v>
      </c>
      <c r="F160" s="4">
        <v>7693</v>
      </c>
      <c r="G160" s="4">
        <v>0.187</v>
      </c>
      <c r="H160" s="4">
        <v>19</v>
      </c>
      <c r="I160" s="4">
        <v>90.1</v>
      </c>
      <c r="J160" s="4">
        <v>0.44</v>
      </c>
      <c r="K160" s="4">
        <v>0</v>
      </c>
      <c r="L160" s="4">
        <v>4.4000000000000004</v>
      </c>
      <c r="M160" s="4">
        <v>702318.94</v>
      </c>
      <c r="N160" s="4">
        <v>112829.29</v>
      </c>
    </row>
    <row r="161" spans="1:14" x14ac:dyDescent="0.35">
      <c r="A161" s="4" t="s">
        <v>63</v>
      </c>
      <c r="B161" s="5">
        <v>45658</v>
      </c>
      <c r="C161" s="4" t="s">
        <v>22</v>
      </c>
      <c r="D161" s="4" t="s">
        <v>30</v>
      </c>
      <c r="E161" s="4">
        <v>86883.31</v>
      </c>
      <c r="F161" s="4">
        <v>6424</v>
      </c>
      <c r="G161" s="4">
        <v>5.7000000000000002E-2</v>
      </c>
      <c r="H161" s="4">
        <v>19</v>
      </c>
      <c r="I161" s="4">
        <v>85.2</v>
      </c>
      <c r="J161" s="4">
        <v>3.08</v>
      </c>
      <c r="K161" s="4">
        <v>0</v>
      </c>
      <c r="L161" s="4">
        <v>3.9</v>
      </c>
      <c r="M161" s="4">
        <v>700078.32</v>
      </c>
      <c r="N161" s="4">
        <v>123707.58</v>
      </c>
    </row>
    <row r="162" spans="1:14" x14ac:dyDescent="0.35">
      <c r="A162" s="4" t="s">
        <v>63</v>
      </c>
      <c r="B162" s="5">
        <v>45689</v>
      </c>
      <c r="C162" s="4" t="s">
        <v>22</v>
      </c>
      <c r="D162" s="4" t="s">
        <v>30</v>
      </c>
      <c r="E162" s="4">
        <v>41863.08</v>
      </c>
      <c r="F162" s="4">
        <v>5400</v>
      </c>
      <c r="G162" s="4">
        <v>0.114</v>
      </c>
      <c r="H162" s="4">
        <v>11</v>
      </c>
      <c r="I162" s="4">
        <v>91.6</v>
      </c>
      <c r="J162" s="4">
        <v>7.99</v>
      </c>
      <c r="K162" s="4">
        <v>0</v>
      </c>
      <c r="L162" s="4">
        <v>3</v>
      </c>
      <c r="M162" s="4">
        <v>602002.31999999995</v>
      </c>
      <c r="N162" s="4">
        <v>110453.28</v>
      </c>
    </row>
    <row r="163" spans="1:14" x14ac:dyDescent="0.35">
      <c r="A163" s="4" t="s">
        <v>63</v>
      </c>
      <c r="B163" s="5">
        <v>45717</v>
      </c>
      <c r="C163" s="4" t="s">
        <v>22</v>
      </c>
      <c r="D163" s="4" t="s">
        <v>30</v>
      </c>
      <c r="E163" s="4">
        <v>56918.16</v>
      </c>
      <c r="F163" s="4">
        <v>7015</v>
      </c>
      <c r="G163" s="4">
        <v>0.158</v>
      </c>
      <c r="H163" s="4">
        <v>18</v>
      </c>
      <c r="I163" s="4">
        <v>74.2</v>
      </c>
      <c r="J163" s="4">
        <v>0.2</v>
      </c>
      <c r="K163" s="4">
        <v>0</v>
      </c>
      <c r="L163" s="4">
        <v>3.4</v>
      </c>
      <c r="M163" s="4">
        <v>724216.07</v>
      </c>
      <c r="N163" s="4">
        <v>100627.56</v>
      </c>
    </row>
    <row r="164" spans="1:14" x14ac:dyDescent="0.35">
      <c r="A164" s="4" t="s">
        <v>63</v>
      </c>
      <c r="B164" s="5">
        <v>45748</v>
      </c>
      <c r="C164" s="4" t="s">
        <v>22</v>
      </c>
      <c r="D164" s="4" t="s">
        <v>30</v>
      </c>
      <c r="E164" s="4">
        <v>23254.57</v>
      </c>
      <c r="F164" s="4">
        <v>3847</v>
      </c>
      <c r="G164" s="4">
        <v>0.159</v>
      </c>
      <c r="H164" s="4">
        <v>12</v>
      </c>
      <c r="I164" s="4">
        <v>93</v>
      </c>
      <c r="J164" s="4">
        <v>5.46</v>
      </c>
      <c r="K164" s="4">
        <v>0</v>
      </c>
      <c r="L164" s="4">
        <v>3.3</v>
      </c>
      <c r="M164" s="4">
        <v>620973.03</v>
      </c>
      <c r="N164" s="4">
        <v>72303.850000000006</v>
      </c>
    </row>
    <row r="165" spans="1:14" x14ac:dyDescent="0.35">
      <c r="A165" s="4" t="s">
        <v>64</v>
      </c>
      <c r="B165" s="5">
        <v>45658</v>
      </c>
      <c r="C165" s="4" t="s">
        <v>26</v>
      </c>
      <c r="D165" s="4" t="s">
        <v>20</v>
      </c>
      <c r="E165" s="4">
        <v>41443.410000000003</v>
      </c>
      <c r="F165" s="4">
        <v>7455</v>
      </c>
      <c r="G165" s="4">
        <v>0.17499999999999999</v>
      </c>
      <c r="H165" s="4">
        <v>16</v>
      </c>
      <c r="I165" s="4">
        <v>90.1</v>
      </c>
      <c r="J165" s="4">
        <v>4.05</v>
      </c>
      <c r="K165" s="4">
        <v>0</v>
      </c>
      <c r="L165" s="4">
        <v>4</v>
      </c>
      <c r="M165" s="4">
        <v>650480.06000000006</v>
      </c>
      <c r="N165" s="4">
        <v>109012.07</v>
      </c>
    </row>
    <row r="166" spans="1:14" x14ac:dyDescent="0.35">
      <c r="A166" s="4" t="s">
        <v>64</v>
      </c>
      <c r="B166" s="5">
        <v>45689</v>
      </c>
      <c r="C166" s="4" t="s">
        <v>26</v>
      </c>
      <c r="D166" s="4" t="s">
        <v>20</v>
      </c>
      <c r="E166" s="4">
        <v>48438.85</v>
      </c>
      <c r="F166" s="4">
        <v>6992</v>
      </c>
      <c r="G166" s="4">
        <v>3.4000000000000002E-2</v>
      </c>
      <c r="H166" s="4">
        <v>20</v>
      </c>
      <c r="I166" s="4">
        <v>91</v>
      </c>
      <c r="J166" s="4">
        <v>4.3600000000000003</v>
      </c>
      <c r="K166" s="4">
        <v>0</v>
      </c>
      <c r="L166" s="4">
        <v>4.2</v>
      </c>
      <c r="M166" s="4">
        <v>778298.88</v>
      </c>
      <c r="N166" s="4">
        <v>130076.72</v>
      </c>
    </row>
    <row r="167" spans="1:14" x14ac:dyDescent="0.35">
      <c r="A167" s="4" t="s">
        <v>64</v>
      </c>
      <c r="B167" s="5">
        <v>45717</v>
      </c>
      <c r="C167" s="4" t="s">
        <v>26</v>
      </c>
      <c r="D167" s="4" t="s">
        <v>20</v>
      </c>
      <c r="E167" s="4">
        <v>57143.3</v>
      </c>
      <c r="F167" s="4">
        <v>8038</v>
      </c>
      <c r="G167" s="4">
        <v>0.193</v>
      </c>
      <c r="H167" s="4">
        <v>17</v>
      </c>
      <c r="I167" s="4">
        <v>72.599999999999994</v>
      </c>
      <c r="J167" s="4"/>
      <c r="K167" s="4">
        <v>0</v>
      </c>
      <c r="L167" s="4">
        <v>4.2</v>
      </c>
      <c r="M167" s="4">
        <v>677096.71</v>
      </c>
      <c r="N167" s="4">
        <v>97174.11</v>
      </c>
    </row>
    <row r="168" spans="1:14" x14ac:dyDescent="0.35">
      <c r="A168" s="4" t="s">
        <v>64</v>
      </c>
      <c r="B168" s="5">
        <v>45748</v>
      </c>
      <c r="C168" s="4" t="s">
        <v>26</v>
      </c>
      <c r="D168" s="4" t="s">
        <v>20</v>
      </c>
      <c r="E168" s="4">
        <v>66870.62</v>
      </c>
      <c r="F168" s="4">
        <v>6055</v>
      </c>
      <c r="G168" s="4">
        <v>7.4999999999999997E-2</v>
      </c>
      <c r="H168" s="4">
        <v>19</v>
      </c>
      <c r="I168" s="4">
        <v>93.8</v>
      </c>
      <c r="J168" s="4">
        <v>0.54</v>
      </c>
      <c r="K168" s="4">
        <v>0</v>
      </c>
      <c r="L168" s="4">
        <v>4.3</v>
      </c>
      <c r="M168" s="4">
        <v>692008.64</v>
      </c>
      <c r="N168" s="4">
        <v>116337.87</v>
      </c>
    </row>
    <row r="169" spans="1:14" x14ac:dyDescent="0.35">
      <c r="A169" s="4" t="s">
        <v>65</v>
      </c>
      <c r="B169" s="5">
        <v>45658</v>
      </c>
      <c r="C169" s="4" t="s">
        <v>22</v>
      </c>
      <c r="D169" s="4" t="s">
        <v>30</v>
      </c>
      <c r="E169" s="4">
        <v>72150.53</v>
      </c>
      <c r="F169" s="4">
        <v>9323</v>
      </c>
      <c r="G169" s="4">
        <v>0.157</v>
      </c>
      <c r="H169" s="4">
        <v>22</v>
      </c>
      <c r="I169" s="4">
        <v>82.9</v>
      </c>
      <c r="J169" s="4">
        <v>11.37</v>
      </c>
      <c r="K169" s="4">
        <v>1</v>
      </c>
      <c r="L169" s="4">
        <v>4.3</v>
      </c>
      <c r="M169" s="4">
        <v>825797.91</v>
      </c>
      <c r="N169" s="4">
        <v>130945.24</v>
      </c>
    </row>
    <row r="170" spans="1:14" x14ac:dyDescent="0.35">
      <c r="A170" s="4" t="s">
        <v>65</v>
      </c>
      <c r="B170" s="5">
        <v>45689</v>
      </c>
      <c r="C170" s="4" t="s">
        <v>22</v>
      </c>
      <c r="D170" s="4" t="s">
        <v>30</v>
      </c>
      <c r="E170" s="4">
        <v>35303.300000000003</v>
      </c>
      <c r="F170" s="4">
        <v>8789</v>
      </c>
      <c r="G170" s="4">
        <v>0.123</v>
      </c>
      <c r="H170" s="4">
        <v>22</v>
      </c>
      <c r="I170" s="4">
        <v>86.1</v>
      </c>
      <c r="J170" s="4">
        <v>9.43</v>
      </c>
      <c r="K170" s="4">
        <v>0</v>
      </c>
      <c r="L170" s="4">
        <v>4.2</v>
      </c>
      <c r="M170" s="4">
        <v>706285.52</v>
      </c>
      <c r="N170" s="4">
        <v>138014.72</v>
      </c>
    </row>
    <row r="171" spans="1:14" x14ac:dyDescent="0.35">
      <c r="A171" s="4" t="s">
        <v>65</v>
      </c>
      <c r="B171" s="5">
        <v>45717</v>
      </c>
      <c r="C171" s="4" t="s">
        <v>22</v>
      </c>
      <c r="D171" s="4" t="s">
        <v>30</v>
      </c>
      <c r="E171" s="4">
        <v>30301.86</v>
      </c>
      <c r="F171" s="4">
        <v>6939</v>
      </c>
      <c r="G171" s="4">
        <v>0.09</v>
      </c>
      <c r="H171" s="4">
        <v>16</v>
      </c>
      <c r="I171" s="4">
        <v>90.3</v>
      </c>
      <c r="J171" s="4">
        <v>3.49</v>
      </c>
      <c r="K171" s="4">
        <v>0</v>
      </c>
      <c r="L171" s="4">
        <v>4</v>
      </c>
      <c r="M171" s="4">
        <v>665534.69999999995</v>
      </c>
      <c r="N171" s="4">
        <v>113167.73</v>
      </c>
    </row>
    <row r="172" spans="1:14" x14ac:dyDescent="0.35">
      <c r="A172" s="4" t="s">
        <v>65</v>
      </c>
      <c r="B172" s="5">
        <v>45748</v>
      </c>
      <c r="C172" s="4" t="s">
        <v>22</v>
      </c>
      <c r="D172" s="4" t="s">
        <v>30</v>
      </c>
      <c r="E172" s="4">
        <v>78432.14</v>
      </c>
      <c r="F172" s="4">
        <v>9440</v>
      </c>
      <c r="G172" s="4">
        <v>0.126</v>
      </c>
      <c r="H172" s="4">
        <v>23</v>
      </c>
      <c r="I172" s="4">
        <v>89.2</v>
      </c>
      <c r="J172" s="4">
        <v>7.86</v>
      </c>
      <c r="K172" s="4">
        <v>0</v>
      </c>
      <c r="L172" s="4">
        <v>4.0999999999999996</v>
      </c>
      <c r="M172" s="4">
        <v>820729.29</v>
      </c>
      <c r="N172" s="4">
        <v>159325.47</v>
      </c>
    </row>
    <row r="173" spans="1:14" x14ac:dyDescent="0.35">
      <c r="A173" s="4" t="s">
        <v>66</v>
      </c>
      <c r="B173" s="5">
        <v>45658</v>
      </c>
      <c r="C173" s="4" t="s">
        <v>17</v>
      </c>
      <c r="D173" s="4" t="s">
        <v>18</v>
      </c>
      <c r="E173" s="4">
        <v>62059.18</v>
      </c>
      <c r="F173" s="4">
        <v>9374</v>
      </c>
      <c r="G173" s="4">
        <v>0.13600000000000001</v>
      </c>
      <c r="H173" s="4">
        <v>25</v>
      </c>
      <c r="I173" s="4">
        <v>87.1</v>
      </c>
      <c r="J173" s="4">
        <v>12.55</v>
      </c>
      <c r="K173" s="4">
        <v>0</v>
      </c>
      <c r="L173" s="4">
        <v>4.9000000000000004</v>
      </c>
      <c r="M173" s="4">
        <v>739831.73</v>
      </c>
      <c r="N173" s="4">
        <v>119490.21</v>
      </c>
    </row>
    <row r="174" spans="1:14" x14ac:dyDescent="0.35">
      <c r="A174" s="4" t="s">
        <v>66</v>
      </c>
      <c r="B174" s="5">
        <v>45689</v>
      </c>
      <c r="C174" s="4" t="s">
        <v>17</v>
      </c>
      <c r="D174" s="4" t="s">
        <v>18</v>
      </c>
      <c r="E174" s="4">
        <v>32834.480000000003</v>
      </c>
      <c r="F174" s="4">
        <v>7576</v>
      </c>
      <c r="G174" s="4">
        <v>9.9000000000000005E-2</v>
      </c>
      <c r="H174" s="4">
        <v>15</v>
      </c>
      <c r="I174" s="4">
        <v>84.1</v>
      </c>
      <c r="J174" s="4">
        <v>3.48</v>
      </c>
      <c r="K174" s="4">
        <v>0</v>
      </c>
      <c r="L174" s="4">
        <v>5</v>
      </c>
      <c r="M174" s="4">
        <v>593637.14</v>
      </c>
      <c r="N174" s="4">
        <v>106648.14</v>
      </c>
    </row>
    <row r="175" spans="1:14" x14ac:dyDescent="0.35">
      <c r="A175" s="4" t="s">
        <v>66</v>
      </c>
      <c r="B175" s="5">
        <v>45717</v>
      </c>
      <c r="C175" s="4" t="s">
        <v>17</v>
      </c>
      <c r="D175" s="4" t="s">
        <v>18</v>
      </c>
      <c r="E175" s="4">
        <v>50825.08</v>
      </c>
      <c r="F175" s="4">
        <v>8949</v>
      </c>
      <c r="G175" s="4">
        <v>0.157</v>
      </c>
      <c r="H175" s="4">
        <v>21</v>
      </c>
      <c r="I175" s="4">
        <v>84.7</v>
      </c>
      <c r="J175" s="4">
        <v>7.73</v>
      </c>
      <c r="K175" s="4">
        <v>0</v>
      </c>
      <c r="L175" s="4">
        <v>4.9000000000000004</v>
      </c>
      <c r="M175" s="4">
        <v>769702.76</v>
      </c>
      <c r="N175" s="4">
        <v>158697</v>
      </c>
    </row>
    <row r="176" spans="1:14" x14ac:dyDescent="0.35">
      <c r="A176" s="4" t="s">
        <v>66</v>
      </c>
      <c r="B176" s="5">
        <v>45748</v>
      </c>
      <c r="C176" s="4" t="s">
        <v>17</v>
      </c>
      <c r="D176" s="4" t="s">
        <v>18</v>
      </c>
      <c r="E176" s="4">
        <v>36606.51</v>
      </c>
      <c r="F176" s="4">
        <v>7671</v>
      </c>
      <c r="G176" s="4">
        <v>0.11799999999999999</v>
      </c>
      <c r="H176" s="4">
        <v>18</v>
      </c>
      <c r="I176" s="4">
        <v>89.8</v>
      </c>
      <c r="J176" s="4">
        <v>0.25</v>
      </c>
      <c r="K176" s="4">
        <v>0</v>
      </c>
      <c r="L176" s="4">
        <v>4.4000000000000004</v>
      </c>
      <c r="M176" s="4">
        <v>679731.57</v>
      </c>
      <c r="N176" s="4">
        <v>121546.42</v>
      </c>
    </row>
    <row r="177" spans="1:14" x14ac:dyDescent="0.35">
      <c r="A177" s="4" t="s">
        <v>67</v>
      </c>
      <c r="B177" s="5">
        <v>45658</v>
      </c>
      <c r="C177" s="4" t="s">
        <v>17</v>
      </c>
      <c r="D177" s="4" t="s">
        <v>18</v>
      </c>
      <c r="E177" s="4">
        <v>65237.79</v>
      </c>
      <c r="F177" s="4">
        <v>8741</v>
      </c>
      <c r="G177" s="4">
        <v>0.157</v>
      </c>
      <c r="H177" s="4">
        <v>20</v>
      </c>
      <c r="I177" s="4">
        <v>94.4</v>
      </c>
      <c r="J177" s="4">
        <v>6.43</v>
      </c>
      <c r="K177" s="4">
        <v>0</v>
      </c>
      <c r="L177" s="4">
        <v>3.3</v>
      </c>
      <c r="M177" s="4">
        <v>780344.18</v>
      </c>
      <c r="N177" s="4">
        <v>118239.09</v>
      </c>
    </row>
    <row r="178" spans="1:14" x14ac:dyDescent="0.35">
      <c r="A178" s="4" t="s">
        <v>67</v>
      </c>
      <c r="B178" s="5">
        <v>45689</v>
      </c>
      <c r="C178" s="4" t="s">
        <v>17</v>
      </c>
      <c r="D178" s="4" t="s">
        <v>18</v>
      </c>
      <c r="E178" s="4">
        <v>43645.98</v>
      </c>
      <c r="F178" s="4">
        <v>9480</v>
      </c>
      <c r="G178" s="4">
        <v>0.109</v>
      </c>
      <c r="H178" s="4">
        <v>22</v>
      </c>
      <c r="I178" s="4">
        <v>89</v>
      </c>
      <c r="J178" s="4">
        <v>2.11</v>
      </c>
      <c r="K178" s="4">
        <v>0</v>
      </c>
      <c r="L178" s="4">
        <v>3.1</v>
      </c>
      <c r="M178" s="4">
        <v>721364.11</v>
      </c>
      <c r="N178" s="4">
        <v>147272.81</v>
      </c>
    </row>
    <row r="179" spans="1:14" x14ac:dyDescent="0.35">
      <c r="A179" s="4" t="s">
        <v>67</v>
      </c>
      <c r="B179" s="5">
        <v>45717</v>
      </c>
      <c r="C179" s="4" t="s">
        <v>17</v>
      </c>
      <c r="D179" s="4" t="s">
        <v>18</v>
      </c>
      <c r="E179" s="4">
        <v>68040.149999999994</v>
      </c>
      <c r="F179" s="4">
        <v>9826</v>
      </c>
      <c r="G179" s="4">
        <v>0.125</v>
      </c>
      <c r="H179" s="4">
        <v>20</v>
      </c>
      <c r="I179" s="4">
        <v>83.9</v>
      </c>
      <c r="J179" s="4">
        <v>9.1199999999999992</v>
      </c>
      <c r="K179" s="4">
        <v>0</v>
      </c>
      <c r="L179" s="4">
        <v>3.6</v>
      </c>
      <c r="M179" s="4">
        <v>758138.29</v>
      </c>
      <c r="N179" s="4">
        <v>132975.26</v>
      </c>
    </row>
    <row r="180" spans="1:14" x14ac:dyDescent="0.35">
      <c r="A180" s="4" t="s">
        <v>67</v>
      </c>
      <c r="B180" s="5">
        <v>45748</v>
      </c>
      <c r="C180" s="4" t="s">
        <v>17</v>
      </c>
      <c r="D180" s="4" t="s">
        <v>18</v>
      </c>
      <c r="E180" s="4">
        <v>63043.94</v>
      </c>
      <c r="F180" s="4">
        <v>10402</v>
      </c>
      <c r="G180" s="4">
        <v>0.159</v>
      </c>
      <c r="H180" s="4">
        <v>23</v>
      </c>
      <c r="I180" s="4">
        <v>93.9</v>
      </c>
      <c r="J180" s="4">
        <v>2.71</v>
      </c>
      <c r="K180" s="4">
        <v>0</v>
      </c>
      <c r="L180" s="4">
        <v>3.1</v>
      </c>
      <c r="M180" s="4">
        <v>804264</v>
      </c>
      <c r="N180" s="4">
        <v>167117.91</v>
      </c>
    </row>
    <row r="181" spans="1:14" x14ac:dyDescent="0.35">
      <c r="A181" s="4" t="s">
        <v>68</v>
      </c>
      <c r="B181" s="5">
        <v>45658</v>
      </c>
      <c r="C181" s="4" t="s">
        <v>29</v>
      </c>
      <c r="D181" s="4" t="s">
        <v>23</v>
      </c>
      <c r="E181" s="4">
        <v>67494.09</v>
      </c>
      <c r="F181" s="4">
        <v>12361</v>
      </c>
      <c r="G181" s="4">
        <v>4.5999999999999999E-2</v>
      </c>
      <c r="H181" s="4">
        <v>24</v>
      </c>
      <c r="I181" s="4">
        <v>76.599999999999994</v>
      </c>
      <c r="J181" s="4">
        <v>3.65</v>
      </c>
      <c r="K181" s="4">
        <v>1</v>
      </c>
      <c r="L181" s="4">
        <v>3.7</v>
      </c>
      <c r="M181" s="4">
        <v>887537.75</v>
      </c>
      <c r="N181" s="4">
        <v>160362.92000000001</v>
      </c>
    </row>
    <row r="182" spans="1:14" x14ac:dyDescent="0.35">
      <c r="A182" s="4" t="s">
        <v>68</v>
      </c>
      <c r="B182" s="5">
        <v>45689</v>
      </c>
      <c r="C182" s="4" t="s">
        <v>29</v>
      </c>
      <c r="D182" s="4" t="s">
        <v>23</v>
      </c>
      <c r="E182" s="4">
        <v>29389.32</v>
      </c>
      <c r="F182" s="4">
        <v>7925</v>
      </c>
      <c r="G182" s="4">
        <v>0.17699999999999999</v>
      </c>
      <c r="H182" s="4">
        <v>21</v>
      </c>
      <c r="I182" s="4">
        <v>90.9</v>
      </c>
      <c r="J182" s="4">
        <v>7.86</v>
      </c>
      <c r="K182" s="4">
        <v>0</v>
      </c>
      <c r="L182" s="4">
        <v>4</v>
      </c>
      <c r="M182" s="4">
        <v>783582</v>
      </c>
      <c r="N182" s="4">
        <v>130670.93</v>
      </c>
    </row>
    <row r="183" spans="1:14" x14ac:dyDescent="0.35">
      <c r="A183" s="4" t="s">
        <v>68</v>
      </c>
      <c r="B183" s="5">
        <v>45717</v>
      </c>
      <c r="C183" s="4" t="s">
        <v>29</v>
      </c>
      <c r="D183" s="4" t="s">
        <v>23</v>
      </c>
      <c r="E183" s="4">
        <v>40535.089999999997</v>
      </c>
      <c r="F183" s="4">
        <v>8870</v>
      </c>
      <c r="G183" s="4">
        <v>4.1000000000000002E-2</v>
      </c>
      <c r="H183" s="4">
        <v>21</v>
      </c>
      <c r="I183" s="4">
        <v>86.6</v>
      </c>
      <c r="J183" s="4">
        <v>0.3</v>
      </c>
      <c r="K183" s="4">
        <v>0</v>
      </c>
      <c r="L183" s="4">
        <v>4.0999999999999996</v>
      </c>
      <c r="M183" s="4">
        <v>781955.52</v>
      </c>
      <c r="N183" s="4">
        <v>152578.71</v>
      </c>
    </row>
    <row r="184" spans="1:14" x14ac:dyDescent="0.35">
      <c r="A184" s="4" t="s">
        <v>68</v>
      </c>
      <c r="B184" s="5">
        <v>45748</v>
      </c>
      <c r="C184" s="4" t="s">
        <v>29</v>
      </c>
      <c r="D184" s="4" t="s">
        <v>23</v>
      </c>
      <c r="E184" s="4">
        <v>74881.56</v>
      </c>
      <c r="F184" s="4">
        <v>9999</v>
      </c>
      <c r="G184" s="4">
        <v>1.2999999999999999E-2</v>
      </c>
      <c r="H184" s="4">
        <v>20</v>
      </c>
      <c r="I184" s="4">
        <v>89.6</v>
      </c>
      <c r="J184" s="4">
        <v>8.44</v>
      </c>
      <c r="K184" s="4">
        <v>0</v>
      </c>
      <c r="L184" s="4">
        <v>4.0999999999999996</v>
      </c>
      <c r="M184" s="4">
        <v>898031.04</v>
      </c>
      <c r="N184" s="4">
        <v>138666.5</v>
      </c>
    </row>
    <row r="185" spans="1:14" x14ac:dyDescent="0.35">
      <c r="A185" s="4" t="s">
        <v>69</v>
      </c>
      <c r="B185" s="5">
        <v>45658</v>
      </c>
      <c r="C185" s="4" t="s">
        <v>29</v>
      </c>
      <c r="D185" s="4" t="s">
        <v>18</v>
      </c>
      <c r="E185" s="4">
        <v>68491.11</v>
      </c>
      <c r="F185" s="4">
        <v>11154</v>
      </c>
      <c r="G185" s="4">
        <v>1E-3</v>
      </c>
      <c r="H185" s="4">
        <v>24</v>
      </c>
      <c r="I185" s="4">
        <v>89.4</v>
      </c>
      <c r="J185" s="4">
        <v>5.27</v>
      </c>
      <c r="K185" s="4">
        <v>1</v>
      </c>
      <c r="L185" s="4">
        <v>3.9</v>
      </c>
      <c r="M185" s="4">
        <v>855341.28</v>
      </c>
      <c r="N185" s="4">
        <v>175823.8</v>
      </c>
    </row>
    <row r="186" spans="1:14" x14ac:dyDescent="0.35">
      <c r="A186" s="4" t="s">
        <v>69</v>
      </c>
      <c r="B186" s="5">
        <v>45689</v>
      </c>
      <c r="C186" s="4" t="s">
        <v>29</v>
      </c>
      <c r="D186" s="4" t="s">
        <v>18</v>
      </c>
      <c r="E186" s="4">
        <v>45209.25</v>
      </c>
      <c r="F186" s="4">
        <v>9287</v>
      </c>
      <c r="G186" s="4">
        <v>0.14099999999999999</v>
      </c>
      <c r="H186" s="4">
        <v>22</v>
      </c>
      <c r="I186" s="4">
        <v>86.4</v>
      </c>
      <c r="J186" s="4">
        <v>13.22</v>
      </c>
      <c r="K186" s="4">
        <v>0</v>
      </c>
      <c r="L186" s="4">
        <v>3.6</v>
      </c>
      <c r="M186" s="4">
        <v>751393.88</v>
      </c>
      <c r="N186" s="4">
        <v>91480.320000000007</v>
      </c>
    </row>
    <row r="187" spans="1:14" x14ac:dyDescent="0.35">
      <c r="A187" s="4" t="s">
        <v>69</v>
      </c>
      <c r="B187" s="5">
        <v>45717</v>
      </c>
      <c r="C187" s="4" t="s">
        <v>29</v>
      </c>
      <c r="D187" s="4" t="s">
        <v>18</v>
      </c>
      <c r="E187" s="4">
        <v>63010.23</v>
      </c>
      <c r="F187" s="4">
        <v>9812</v>
      </c>
      <c r="G187" s="4">
        <v>0.113</v>
      </c>
      <c r="H187" s="4">
        <v>24</v>
      </c>
      <c r="I187" s="4">
        <v>76.8</v>
      </c>
      <c r="J187" s="4">
        <v>1.02</v>
      </c>
      <c r="K187" s="4">
        <v>1</v>
      </c>
      <c r="L187" s="4">
        <v>3.8</v>
      </c>
      <c r="M187" s="4">
        <v>761077.08</v>
      </c>
      <c r="N187" s="4">
        <v>113605.93</v>
      </c>
    </row>
    <row r="188" spans="1:14" x14ac:dyDescent="0.35">
      <c r="A188" s="4" t="s">
        <v>69</v>
      </c>
      <c r="B188" s="5">
        <v>45748</v>
      </c>
      <c r="C188" s="4" t="s">
        <v>29</v>
      </c>
      <c r="D188" s="4" t="s">
        <v>18</v>
      </c>
      <c r="E188" s="4">
        <v>57948.88</v>
      </c>
      <c r="F188" s="4">
        <v>10741</v>
      </c>
      <c r="G188" s="4">
        <v>7.0000000000000007E-2</v>
      </c>
      <c r="H188" s="4">
        <v>25</v>
      </c>
      <c r="I188" s="4">
        <v>90.1</v>
      </c>
      <c r="J188" s="4">
        <v>4.03</v>
      </c>
      <c r="K188" s="4">
        <v>0</v>
      </c>
      <c r="L188" s="4">
        <v>3.1</v>
      </c>
      <c r="M188" s="4">
        <v>819660.59</v>
      </c>
      <c r="N188" s="4">
        <v>172699.95</v>
      </c>
    </row>
    <row r="189" spans="1:14" x14ac:dyDescent="0.35">
      <c r="A189" s="4" t="s">
        <v>70</v>
      </c>
      <c r="B189" s="5">
        <v>45658</v>
      </c>
      <c r="C189" s="4" t="s">
        <v>22</v>
      </c>
      <c r="D189" s="4" t="s">
        <v>20</v>
      </c>
      <c r="E189" s="4">
        <v>71941.62</v>
      </c>
      <c r="F189" s="4">
        <v>6084</v>
      </c>
      <c r="G189" s="4">
        <v>7.1999999999999995E-2</v>
      </c>
      <c r="H189" s="4">
        <v>13</v>
      </c>
      <c r="I189" s="4">
        <v>93.7</v>
      </c>
      <c r="J189" s="4">
        <v>2.34</v>
      </c>
      <c r="K189" s="4">
        <v>0</v>
      </c>
      <c r="L189" s="4">
        <v>4.4000000000000004</v>
      </c>
      <c r="M189" s="4">
        <v>681855.56</v>
      </c>
      <c r="N189" s="4">
        <v>117645.61</v>
      </c>
    </row>
    <row r="190" spans="1:14" x14ac:dyDescent="0.35">
      <c r="A190" s="4" t="s">
        <v>70</v>
      </c>
      <c r="B190" s="5">
        <v>45689</v>
      </c>
      <c r="C190" s="4" t="s">
        <v>22</v>
      </c>
      <c r="D190" s="4" t="s">
        <v>20</v>
      </c>
      <c r="E190" s="4">
        <v>57147.88</v>
      </c>
      <c r="F190" s="4">
        <v>5252</v>
      </c>
      <c r="G190" s="4">
        <v>0.161</v>
      </c>
      <c r="H190" s="4">
        <v>15</v>
      </c>
      <c r="I190" s="4">
        <v>95.5</v>
      </c>
      <c r="J190" s="4">
        <v>8.51</v>
      </c>
      <c r="K190" s="4">
        <v>0</v>
      </c>
      <c r="L190" s="4">
        <v>4.4000000000000004</v>
      </c>
      <c r="M190" s="4">
        <v>678311.17</v>
      </c>
      <c r="N190" s="4">
        <v>132029.76000000001</v>
      </c>
    </row>
    <row r="191" spans="1:14" x14ac:dyDescent="0.35">
      <c r="A191" s="4" t="s">
        <v>70</v>
      </c>
      <c r="B191" s="5">
        <v>45717</v>
      </c>
      <c r="C191" s="4" t="s">
        <v>22</v>
      </c>
      <c r="D191" s="4" t="s">
        <v>20</v>
      </c>
      <c r="E191" s="4">
        <v>48031.74</v>
      </c>
      <c r="F191" s="4">
        <v>6516</v>
      </c>
      <c r="G191" s="4">
        <v>6.7000000000000004E-2</v>
      </c>
      <c r="H191" s="4">
        <v>14</v>
      </c>
      <c r="I191" s="4">
        <v>99</v>
      </c>
      <c r="J191" s="4">
        <v>0.48</v>
      </c>
      <c r="K191" s="4">
        <v>1</v>
      </c>
      <c r="L191" s="4">
        <v>4.3</v>
      </c>
      <c r="M191" s="4">
        <v>765906.95</v>
      </c>
      <c r="N191" s="4">
        <v>114005.9</v>
      </c>
    </row>
    <row r="192" spans="1:14" x14ac:dyDescent="0.35">
      <c r="A192" s="4" t="s">
        <v>70</v>
      </c>
      <c r="B192" s="5">
        <v>45748</v>
      </c>
      <c r="C192" s="4" t="s">
        <v>22</v>
      </c>
      <c r="D192" s="4" t="s">
        <v>20</v>
      </c>
      <c r="E192" s="4">
        <v>72784.800000000003</v>
      </c>
      <c r="F192" s="4">
        <v>7932</v>
      </c>
      <c r="G192" s="4">
        <v>9.4E-2</v>
      </c>
      <c r="H192" s="4">
        <v>20</v>
      </c>
      <c r="I192" s="4">
        <v>74.900000000000006</v>
      </c>
      <c r="J192" s="4">
        <v>13.62</v>
      </c>
      <c r="K192" s="4">
        <v>0</v>
      </c>
      <c r="L192" s="4">
        <v>4.2</v>
      </c>
      <c r="M192" s="4">
        <v>712546.38</v>
      </c>
      <c r="N192" s="4">
        <v>101480.04</v>
      </c>
    </row>
    <row r="193" spans="1:14" x14ac:dyDescent="0.35">
      <c r="A193" s="4" t="s">
        <v>71</v>
      </c>
      <c r="B193" s="5">
        <v>45658</v>
      </c>
      <c r="C193" s="4" t="s">
        <v>17</v>
      </c>
      <c r="D193" s="4" t="s">
        <v>20</v>
      </c>
      <c r="E193" s="4">
        <v>71641.899999999994</v>
      </c>
      <c r="F193" s="4">
        <v>3506</v>
      </c>
      <c r="G193" s="4">
        <v>0</v>
      </c>
      <c r="H193" s="4">
        <v>11</v>
      </c>
      <c r="I193" s="4">
        <v>86.4</v>
      </c>
      <c r="J193" s="4">
        <v>7.77</v>
      </c>
      <c r="K193" s="4">
        <v>0</v>
      </c>
      <c r="L193" s="4">
        <v>4.0999999999999996</v>
      </c>
      <c r="M193" s="4">
        <v>625993.82999999996</v>
      </c>
      <c r="N193" s="4">
        <v>98960.320000000007</v>
      </c>
    </row>
    <row r="194" spans="1:14" x14ac:dyDescent="0.35">
      <c r="A194" s="4" t="s">
        <v>71</v>
      </c>
      <c r="B194" s="5">
        <v>45689</v>
      </c>
      <c r="C194" s="4" t="s">
        <v>17</v>
      </c>
      <c r="D194" s="4" t="s">
        <v>20</v>
      </c>
      <c r="E194" s="4">
        <v>55788.61</v>
      </c>
      <c r="F194" s="4">
        <v>2312</v>
      </c>
      <c r="G194" s="4">
        <v>5.8000000000000003E-2</v>
      </c>
      <c r="H194" s="4">
        <v>10</v>
      </c>
      <c r="I194" s="4">
        <v>91.3</v>
      </c>
      <c r="J194" s="4">
        <v>1.99</v>
      </c>
      <c r="K194" s="4">
        <v>0</v>
      </c>
      <c r="L194" s="4">
        <v>3.8</v>
      </c>
      <c r="M194" s="4">
        <v>550962.93000000005</v>
      </c>
      <c r="N194" s="4">
        <v>97144.58</v>
      </c>
    </row>
    <row r="195" spans="1:14" x14ac:dyDescent="0.35">
      <c r="A195" s="4" t="s">
        <v>71</v>
      </c>
      <c r="B195" s="5">
        <v>45717</v>
      </c>
      <c r="C195" s="4" t="s">
        <v>17</v>
      </c>
      <c r="D195" s="4" t="s">
        <v>20</v>
      </c>
      <c r="E195" s="4">
        <v>37705.879999999997</v>
      </c>
      <c r="F195" s="4">
        <v>1268</v>
      </c>
      <c r="G195" s="4">
        <v>0.25900000000000001</v>
      </c>
      <c r="H195" s="4">
        <v>9</v>
      </c>
      <c r="I195" s="4">
        <v>84.1</v>
      </c>
      <c r="J195" s="4">
        <v>4.7699999999999996</v>
      </c>
      <c r="K195" s="4">
        <v>0</v>
      </c>
      <c r="L195" s="4">
        <v>3.8</v>
      </c>
      <c r="M195" s="4">
        <v>443275.59</v>
      </c>
      <c r="N195" s="4">
        <v>53544.36</v>
      </c>
    </row>
    <row r="196" spans="1:14" x14ac:dyDescent="0.35">
      <c r="A196" s="4" t="s">
        <v>71</v>
      </c>
      <c r="B196" s="5">
        <v>45748</v>
      </c>
      <c r="C196" s="4" t="s">
        <v>17</v>
      </c>
      <c r="D196" s="4" t="s">
        <v>20</v>
      </c>
      <c r="E196" s="4">
        <v>54966.18</v>
      </c>
      <c r="F196" s="4">
        <v>4423</v>
      </c>
      <c r="G196" s="4">
        <v>0.186</v>
      </c>
      <c r="H196" s="4">
        <v>13</v>
      </c>
      <c r="I196" s="4">
        <v>88.7</v>
      </c>
      <c r="J196" s="4">
        <v>0.2</v>
      </c>
      <c r="K196" s="4">
        <v>0</v>
      </c>
      <c r="L196" s="4">
        <v>4.4000000000000004</v>
      </c>
      <c r="M196" s="4">
        <v>554012.06999999995</v>
      </c>
      <c r="N196" s="4">
        <v>81101.62</v>
      </c>
    </row>
    <row r="197" spans="1:14" x14ac:dyDescent="0.35">
      <c r="A197" s="4" t="s">
        <v>72</v>
      </c>
      <c r="B197" s="5">
        <v>45658</v>
      </c>
      <c r="C197" s="4" t="s">
        <v>29</v>
      </c>
      <c r="D197" s="4" t="s">
        <v>18</v>
      </c>
      <c r="E197" s="4">
        <v>81796.740000000005</v>
      </c>
      <c r="F197" s="4">
        <v>6177</v>
      </c>
      <c r="G197" s="4">
        <v>0.16400000000000001</v>
      </c>
      <c r="H197" s="4">
        <v>14</v>
      </c>
      <c r="I197" s="4">
        <v>87.9</v>
      </c>
      <c r="J197" s="4">
        <v>0.53</v>
      </c>
      <c r="K197" s="4">
        <v>0</v>
      </c>
      <c r="L197" s="4">
        <v>3.2</v>
      </c>
      <c r="M197" s="4">
        <v>643428.85</v>
      </c>
      <c r="N197" s="4">
        <v>94477.63</v>
      </c>
    </row>
    <row r="198" spans="1:14" x14ac:dyDescent="0.35">
      <c r="A198" s="4" t="s">
        <v>72</v>
      </c>
      <c r="B198" s="5">
        <v>45689</v>
      </c>
      <c r="C198" s="4" t="s">
        <v>29</v>
      </c>
      <c r="D198" s="4" t="s">
        <v>18</v>
      </c>
      <c r="E198" s="4">
        <v>51133.43</v>
      </c>
      <c r="F198" s="4">
        <v>5150</v>
      </c>
      <c r="G198" s="4">
        <v>0.15</v>
      </c>
      <c r="H198" s="4">
        <v>12</v>
      </c>
      <c r="I198" s="4">
        <v>88.5</v>
      </c>
      <c r="J198" s="4">
        <v>1.54</v>
      </c>
      <c r="K198" s="4">
        <v>0</v>
      </c>
      <c r="L198" s="4">
        <v>3.2</v>
      </c>
      <c r="M198" s="4">
        <v>611924.27</v>
      </c>
      <c r="N198" s="4">
        <v>115488.75</v>
      </c>
    </row>
    <row r="199" spans="1:14" x14ac:dyDescent="0.35">
      <c r="A199" s="4" t="s">
        <v>72</v>
      </c>
      <c r="B199" s="5">
        <v>45717</v>
      </c>
      <c r="C199" s="4" t="s">
        <v>29</v>
      </c>
      <c r="D199" s="4" t="s">
        <v>18</v>
      </c>
      <c r="E199" s="4">
        <v>40220.18</v>
      </c>
      <c r="F199" s="4">
        <v>3783</v>
      </c>
      <c r="G199" s="4">
        <v>8.8999999999999996E-2</v>
      </c>
      <c r="H199" s="4">
        <v>14</v>
      </c>
      <c r="I199" s="4">
        <v>86.6</v>
      </c>
      <c r="J199" s="4">
        <v>3.63</v>
      </c>
      <c r="K199" s="4">
        <v>0</v>
      </c>
      <c r="L199" s="4">
        <v>3.7</v>
      </c>
      <c r="M199" s="4">
        <v>559422.02</v>
      </c>
      <c r="N199" s="4">
        <v>73528.740000000005</v>
      </c>
    </row>
    <row r="200" spans="1:14" x14ac:dyDescent="0.35">
      <c r="A200" s="4" t="s">
        <v>72</v>
      </c>
      <c r="B200" s="5">
        <v>45748</v>
      </c>
      <c r="C200" s="4" t="s">
        <v>29</v>
      </c>
      <c r="D200" s="4" t="s">
        <v>18</v>
      </c>
      <c r="E200" s="4">
        <v>41657.64</v>
      </c>
      <c r="F200" s="4">
        <v>3135</v>
      </c>
      <c r="G200" s="4">
        <v>0.22900000000000001</v>
      </c>
      <c r="H200" s="4">
        <v>7</v>
      </c>
      <c r="I200" s="4">
        <v>85.4</v>
      </c>
      <c r="J200" s="4">
        <v>13.48</v>
      </c>
      <c r="K200" s="4">
        <v>0</v>
      </c>
      <c r="L200" s="4"/>
      <c r="M200" s="4">
        <v>449465.06</v>
      </c>
      <c r="N200" s="4">
        <v>65694.78</v>
      </c>
    </row>
    <row r="201" spans="1:14" x14ac:dyDescent="0.35">
      <c r="A201" s="4" t="s">
        <v>73</v>
      </c>
      <c r="B201" s="5">
        <v>45658</v>
      </c>
      <c r="C201" s="4" t="s">
        <v>22</v>
      </c>
      <c r="D201" s="4" t="s">
        <v>18</v>
      </c>
      <c r="E201" s="4">
        <v>71851.45</v>
      </c>
      <c r="F201" s="4">
        <v>4970</v>
      </c>
      <c r="G201" s="4">
        <v>9.8000000000000004E-2</v>
      </c>
      <c r="H201" s="4">
        <v>11</v>
      </c>
      <c r="I201" s="4">
        <v>89.6</v>
      </c>
      <c r="J201" s="4">
        <v>0.2</v>
      </c>
      <c r="K201" s="4">
        <v>0</v>
      </c>
      <c r="L201" s="4">
        <v>4.2</v>
      </c>
      <c r="M201" s="4">
        <v>691447.43</v>
      </c>
      <c r="N201" s="4">
        <v>114077.69</v>
      </c>
    </row>
    <row r="202" spans="1:14" x14ac:dyDescent="0.35">
      <c r="A202" s="4" t="s">
        <v>73</v>
      </c>
      <c r="B202" s="5">
        <v>45689</v>
      </c>
      <c r="C202" s="4" t="s">
        <v>22</v>
      </c>
      <c r="D202" s="4" t="s">
        <v>18</v>
      </c>
      <c r="E202" s="4">
        <v>54002.83</v>
      </c>
      <c r="F202" s="4">
        <v>4366</v>
      </c>
      <c r="G202" s="4">
        <v>2.7E-2</v>
      </c>
      <c r="H202" s="4">
        <v>15</v>
      </c>
      <c r="I202" s="4">
        <v>90.6</v>
      </c>
      <c r="J202" s="4">
        <v>12.82</v>
      </c>
      <c r="K202" s="4">
        <v>0</v>
      </c>
      <c r="L202" s="4">
        <v>4.5999999999999996</v>
      </c>
      <c r="M202" s="4">
        <v>574066.61</v>
      </c>
      <c r="N202" s="4">
        <v>124674.67</v>
      </c>
    </row>
    <row r="203" spans="1:14" x14ac:dyDescent="0.35">
      <c r="A203" s="4" t="s">
        <v>73</v>
      </c>
      <c r="B203" s="5">
        <v>45717</v>
      </c>
      <c r="C203" s="4" t="s">
        <v>22</v>
      </c>
      <c r="D203" s="4" t="s">
        <v>18</v>
      </c>
      <c r="E203" s="4">
        <v>54479.33</v>
      </c>
      <c r="F203" s="4">
        <v>5012</v>
      </c>
      <c r="G203" s="4">
        <v>0.28399999999999997</v>
      </c>
      <c r="H203" s="4">
        <v>13</v>
      </c>
      <c r="I203" s="4">
        <v>86</v>
      </c>
      <c r="J203" s="4">
        <v>2.2400000000000002</v>
      </c>
      <c r="K203" s="4">
        <v>1</v>
      </c>
      <c r="L203" s="4">
        <v>4.3</v>
      </c>
      <c r="M203" s="4">
        <v>578949.84</v>
      </c>
      <c r="N203" s="4">
        <v>80253.649999999994</v>
      </c>
    </row>
    <row r="204" spans="1:14" x14ac:dyDescent="0.35">
      <c r="A204" s="4" t="s">
        <v>73</v>
      </c>
      <c r="B204" s="5">
        <v>45748</v>
      </c>
      <c r="C204" s="4" t="s">
        <v>22</v>
      </c>
      <c r="D204" s="4" t="s">
        <v>18</v>
      </c>
      <c r="E204" s="4">
        <v>61391.8</v>
      </c>
      <c r="F204" s="4">
        <v>5575</v>
      </c>
      <c r="G204" s="4">
        <v>0.189</v>
      </c>
      <c r="H204" s="4">
        <v>18</v>
      </c>
      <c r="I204" s="4">
        <v>90</v>
      </c>
      <c r="J204" s="4">
        <v>1.8</v>
      </c>
      <c r="K204" s="4">
        <v>0</v>
      </c>
      <c r="L204" s="4">
        <v>4.8</v>
      </c>
      <c r="M204" s="4">
        <v>735786.64</v>
      </c>
      <c r="N204" s="4">
        <v>126540.66</v>
      </c>
    </row>
    <row r="205" spans="1:14" x14ac:dyDescent="0.35">
      <c r="A205" s="4" t="s">
        <v>74</v>
      </c>
      <c r="B205" s="5">
        <v>45658</v>
      </c>
      <c r="C205" s="4" t="s">
        <v>17</v>
      </c>
      <c r="D205" s="4" t="s">
        <v>23</v>
      </c>
      <c r="E205" s="4">
        <v>22312.93</v>
      </c>
      <c r="F205" s="4">
        <v>5955</v>
      </c>
      <c r="G205" s="4">
        <v>0.123</v>
      </c>
      <c r="H205" s="4">
        <v>13</v>
      </c>
      <c r="I205" s="4">
        <v>84.2</v>
      </c>
      <c r="J205" s="4">
        <v>0.41</v>
      </c>
      <c r="K205" s="4">
        <v>1</v>
      </c>
      <c r="L205" s="4">
        <v>4.5999999999999996</v>
      </c>
      <c r="M205" s="4">
        <v>598904.9</v>
      </c>
      <c r="N205" s="4">
        <v>72861</v>
      </c>
    </row>
    <row r="206" spans="1:14" x14ac:dyDescent="0.35">
      <c r="A206" s="4" t="s">
        <v>74</v>
      </c>
      <c r="B206" s="5">
        <v>45689</v>
      </c>
      <c r="C206" s="4" t="s">
        <v>17</v>
      </c>
      <c r="D206" s="4" t="s">
        <v>23</v>
      </c>
      <c r="E206" s="4">
        <v>78111.97</v>
      </c>
      <c r="F206" s="4">
        <v>6389</v>
      </c>
      <c r="G206" s="4">
        <v>0.15</v>
      </c>
      <c r="H206" s="4">
        <v>13</v>
      </c>
      <c r="I206" s="4">
        <v>83.9</v>
      </c>
      <c r="J206" s="4">
        <v>3.05</v>
      </c>
      <c r="K206" s="4">
        <v>0</v>
      </c>
      <c r="L206" s="4">
        <v>4.8</v>
      </c>
      <c r="M206" s="4">
        <v>787715.51</v>
      </c>
      <c r="N206" s="4">
        <v>128969.62</v>
      </c>
    </row>
    <row r="207" spans="1:14" x14ac:dyDescent="0.35">
      <c r="A207" s="4" t="s">
        <v>74</v>
      </c>
      <c r="B207" s="5">
        <v>45717</v>
      </c>
      <c r="C207" s="4" t="s">
        <v>17</v>
      </c>
      <c r="D207" s="4" t="s">
        <v>23</v>
      </c>
      <c r="E207" s="4">
        <v>35203.230000000003</v>
      </c>
      <c r="F207" s="4">
        <v>6896</v>
      </c>
      <c r="G207" s="4">
        <v>3.2000000000000001E-2</v>
      </c>
      <c r="H207" s="4">
        <v>14</v>
      </c>
      <c r="I207" s="4">
        <v>80.8</v>
      </c>
      <c r="J207" s="4">
        <v>8.44</v>
      </c>
      <c r="K207" s="4">
        <v>1</v>
      </c>
      <c r="L207" s="4">
        <v>5</v>
      </c>
      <c r="M207" s="4">
        <v>607084.92000000004</v>
      </c>
      <c r="N207" s="4">
        <v>98558.49</v>
      </c>
    </row>
    <row r="208" spans="1:14" x14ac:dyDescent="0.35">
      <c r="A208" s="4" t="s">
        <v>74</v>
      </c>
      <c r="B208" s="5">
        <v>45748</v>
      </c>
      <c r="C208" s="4" t="s">
        <v>17</v>
      </c>
      <c r="D208" s="4" t="s">
        <v>23</v>
      </c>
      <c r="E208" s="4">
        <v>64104.28</v>
      </c>
      <c r="F208" s="4">
        <v>6015</v>
      </c>
      <c r="G208" s="4">
        <v>0.127</v>
      </c>
      <c r="H208" s="4">
        <v>15</v>
      </c>
      <c r="I208" s="4">
        <v>88.7</v>
      </c>
      <c r="J208" s="4">
        <v>0.78</v>
      </c>
      <c r="K208" s="4">
        <v>0</v>
      </c>
      <c r="L208" s="4">
        <v>4</v>
      </c>
      <c r="M208" s="4">
        <v>650795.49</v>
      </c>
      <c r="N208" s="4">
        <v>103035.89</v>
      </c>
    </row>
    <row r="209" spans="1:14" x14ac:dyDescent="0.35">
      <c r="A209" s="4" t="s">
        <v>75</v>
      </c>
      <c r="B209" s="5">
        <v>45658</v>
      </c>
      <c r="C209" s="4" t="s">
        <v>17</v>
      </c>
      <c r="D209" s="4" t="s">
        <v>30</v>
      </c>
      <c r="E209" s="4">
        <v>92090.14</v>
      </c>
      <c r="F209" s="4">
        <v>9476</v>
      </c>
      <c r="G209" s="4">
        <v>7.0000000000000007E-2</v>
      </c>
      <c r="H209" s="4">
        <v>24</v>
      </c>
      <c r="I209" s="4">
        <v>94.3</v>
      </c>
      <c r="J209" s="4">
        <v>0.87</v>
      </c>
      <c r="K209" s="4">
        <v>0</v>
      </c>
      <c r="L209" s="4">
        <v>3.7</v>
      </c>
      <c r="M209" s="4">
        <v>825060.52</v>
      </c>
      <c r="N209" s="4">
        <v>143613.15</v>
      </c>
    </row>
    <row r="210" spans="1:14" x14ac:dyDescent="0.35">
      <c r="A210" s="4" t="s">
        <v>75</v>
      </c>
      <c r="B210" s="5">
        <v>45689</v>
      </c>
      <c r="C210" s="4" t="s">
        <v>17</v>
      </c>
      <c r="D210" s="4" t="s">
        <v>30</v>
      </c>
      <c r="E210" s="4">
        <v>54300.87</v>
      </c>
      <c r="F210" s="4">
        <v>7875</v>
      </c>
      <c r="G210" s="4">
        <v>0.107</v>
      </c>
      <c r="H210" s="4">
        <v>19</v>
      </c>
      <c r="I210" s="4">
        <v>94.1</v>
      </c>
      <c r="J210" s="4">
        <v>0.95</v>
      </c>
      <c r="K210" s="4">
        <v>0</v>
      </c>
      <c r="L210" s="4">
        <v>3.7</v>
      </c>
      <c r="M210" s="4">
        <v>795464.47</v>
      </c>
      <c r="N210" s="4">
        <v>161150.51999999999</v>
      </c>
    </row>
    <row r="211" spans="1:14" x14ac:dyDescent="0.35">
      <c r="A211" s="4" t="s">
        <v>75</v>
      </c>
      <c r="B211" s="5">
        <v>45717</v>
      </c>
      <c r="C211" s="4" t="s">
        <v>17</v>
      </c>
      <c r="D211" s="4" t="s">
        <v>30</v>
      </c>
      <c r="E211" s="4">
        <v>37983.35</v>
      </c>
      <c r="F211" s="4">
        <v>9283</v>
      </c>
      <c r="G211" s="4">
        <v>0.14899999999999999</v>
      </c>
      <c r="H211" s="4">
        <v>19</v>
      </c>
      <c r="I211" s="4">
        <v>83.2</v>
      </c>
      <c r="J211" s="4">
        <v>3.82</v>
      </c>
      <c r="K211" s="4">
        <v>0</v>
      </c>
      <c r="L211" s="4">
        <v>3.7</v>
      </c>
      <c r="M211" s="4">
        <v>671868.59</v>
      </c>
      <c r="N211" s="4">
        <v>71003.28</v>
      </c>
    </row>
    <row r="212" spans="1:14" x14ac:dyDescent="0.35">
      <c r="A212" s="4" t="s">
        <v>75</v>
      </c>
      <c r="B212" s="5">
        <v>45748</v>
      </c>
      <c r="C212" s="4" t="s">
        <v>17</v>
      </c>
      <c r="D212" s="4" t="s">
        <v>30</v>
      </c>
      <c r="E212" s="4">
        <v>56413.83</v>
      </c>
      <c r="F212" s="4">
        <v>8303</v>
      </c>
      <c r="G212" s="4">
        <v>0.11600000000000001</v>
      </c>
      <c r="H212" s="4">
        <v>18</v>
      </c>
      <c r="I212" s="4">
        <v>93.6</v>
      </c>
      <c r="J212" s="4">
        <v>2.7</v>
      </c>
      <c r="K212" s="4">
        <v>0</v>
      </c>
      <c r="L212" s="4">
        <v>3.7</v>
      </c>
      <c r="M212" s="4">
        <v>675917.63</v>
      </c>
      <c r="N212" s="4">
        <v>112564.75</v>
      </c>
    </row>
    <row r="213" spans="1:14" x14ac:dyDescent="0.35">
      <c r="A213" s="4" t="s">
        <v>76</v>
      </c>
      <c r="B213" s="5">
        <v>45658</v>
      </c>
      <c r="C213" s="4" t="s">
        <v>17</v>
      </c>
      <c r="D213" s="4" t="s">
        <v>20</v>
      </c>
      <c r="E213" s="4">
        <v>63457.19</v>
      </c>
      <c r="F213" s="4">
        <v>10125</v>
      </c>
      <c r="G213" s="4">
        <v>9.7000000000000003E-2</v>
      </c>
      <c r="H213" s="4">
        <v>24</v>
      </c>
      <c r="I213" s="4">
        <v>87</v>
      </c>
      <c r="J213" s="4">
        <v>3.84</v>
      </c>
      <c r="K213" s="4">
        <v>1</v>
      </c>
      <c r="L213" s="4">
        <v>3.7</v>
      </c>
      <c r="M213" s="4">
        <v>810446.53</v>
      </c>
      <c r="N213" s="4">
        <v>200575.34</v>
      </c>
    </row>
    <row r="214" spans="1:14" x14ac:dyDescent="0.35">
      <c r="A214" s="4" t="s">
        <v>76</v>
      </c>
      <c r="B214" s="5">
        <v>45689</v>
      </c>
      <c r="C214" s="4" t="s">
        <v>17</v>
      </c>
      <c r="D214" s="4" t="s">
        <v>20</v>
      </c>
      <c r="E214" s="4">
        <v>62949.7</v>
      </c>
      <c r="F214" s="4">
        <v>9458</v>
      </c>
      <c r="G214" s="4">
        <v>0.17100000000000001</v>
      </c>
      <c r="H214" s="4">
        <v>19</v>
      </c>
      <c r="I214" s="4">
        <v>84.9</v>
      </c>
      <c r="J214" s="4">
        <v>5.09</v>
      </c>
      <c r="K214" s="4">
        <v>0</v>
      </c>
      <c r="L214" s="4">
        <v>3.3</v>
      </c>
      <c r="M214" s="4">
        <v>691288.19</v>
      </c>
      <c r="N214" s="4">
        <v>159074.14000000001</v>
      </c>
    </row>
    <row r="215" spans="1:14" x14ac:dyDescent="0.35">
      <c r="A215" s="4" t="s">
        <v>76</v>
      </c>
      <c r="B215" s="5">
        <v>45717</v>
      </c>
      <c r="C215" s="4" t="s">
        <v>17</v>
      </c>
      <c r="D215" s="4" t="s">
        <v>20</v>
      </c>
      <c r="E215" s="4">
        <v>107970.19</v>
      </c>
      <c r="F215" s="4">
        <v>12870</v>
      </c>
      <c r="G215" s="4">
        <v>2.9000000000000001E-2</v>
      </c>
      <c r="H215" s="4">
        <v>31</v>
      </c>
      <c r="I215" s="4">
        <v>91.7</v>
      </c>
      <c r="J215" s="4">
        <v>3.82</v>
      </c>
      <c r="K215" s="4">
        <v>1</v>
      </c>
      <c r="L215" s="4">
        <v>3.7</v>
      </c>
      <c r="M215" s="4">
        <v>946833.54</v>
      </c>
      <c r="N215" s="4">
        <v>184540.31</v>
      </c>
    </row>
    <row r="216" spans="1:14" x14ac:dyDescent="0.35">
      <c r="A216" s="4" t="s">
        <v>76</v>
      </c>
      <c r="B216" s="5">
        <v>45748</v>
      </c>
      <c r="C216" s="4" t="s">
        <v>17</v>
      </c>
      <c r="D216" s="4" t="s">
        <v>20</v>
      </c>
      <c r="E216" s="4">
        <v>49405.75</v>
      </c>
      <c r="F216" s="4">
        <v>9752</v>
      </c>
      <c r="G216" s="4">
        <v>9.2999999999999999E-2</v>
      </c>
      <c r="H216" s="4">
        <v>21</v>
      </c>
      <c r="I216" s="4">
        <v>87</v>
      </c>
      <c r="J216" s="4">
        <v>12.28</v>
      </c>
      <c r="K216" s="4">
        <v>0</v>
      </c>
      <c r="L216" s="4">
        <v>4.0999999999999996</v>
      </c>
      <c r="M216" s="4">
        <v>761963.23</v>
      </c>
      <c r="N216" s="4">
        <v>150113.60999999999</v>
      </c>
    </row>
    <row r="217" spans="1:14" x14ac:dyDescent="0.35">
      <c r="A217" s="4" t="s">
        <v>77</v>
      </c>
      <c r="B217" s="5">
        <v>45658</v>
      </c>
      <c r="C217" s="4" t="s">
        <v>29</v>
      </c>
      <c r="D217" s="4" t="s">
        <v>18</v>
      </c>
      <c r="E217" s="4">
        <v>50887.46</v>
      </c>
      <c r="F217" s="4">
        <v>9505</v>
      </c>
      <c r="G217" s="4">
        <v>9.0999999999999998E-2</v>
      </c>
      <c r="H217" s="4">
        <v>25</v>
      </c>
      <c r="I217" s="4">
        <v>89.7</v>
      </c>
      <c r="J217" s="4">
        <v>2.8</v>
      </c>
      <c r="K217" s="4">
        <v>0</v>
      </c>
      <c r="L217" s="4">
        <v>4.3</v>
      </c>
      <c r="M217" s="4">
        <v>812152.6</v>
      </c>
      <c r="N217" s="4">
        <v>138419.43</v>
      </c>
    </row>
    <row r="218" spans="1:14" x14ac:dyDescent="0.35">
      <c r="A218" s="4" t="s">
        <v>77</v>
      </c>
      <c r="B218" s="5">
        <v>45689</v>
      </c>
      <c r="C218" s="4" t="s">
        <v>29</v>
      </c>
      <c r="D218" s="4" t="s">
        <v>18</v>
      </c>
      <c r="E218" s="4">
        <v>41819.449999999997</v>
      </c>
      <c r="F218" s="4">
        <v>9412</v>
      </c>
      <c r="G218" s="4">
        <v>0.15</v>
      </c>
      <c r="H218" s="4">
        <v>22</v>
      </c>
      <c r="I218" s="4">
        <v>91</v>
      </c>
      <c r="J218" s="4">
        <v>3.67</v>
      </c>
      <c r="K218" s="4">
        <v>0</v>
      </c>
      <c r="L218" s="4">
        <v>4.2</v>
      </c>
      <c r="M218" s="4">
        <v>804975.5</v>
      </c>
      <c r="N218" s="4">
        <v>140054.5</v>
      </c>
    </row>
    <row r="219" spans="1:14" x14ac:dyDescent="0.35">
      <c r="A219" s="4" t="s">
        <v>77</v>
      </c>
      <c r="B219" s="5">
        <v>45717</v>
      </c>
      <c r="C219" s="4" t="s">
        <v>29</v>
      </c>
      <c r="D219" s="4" t="s">
        <v>18</v>
      </c>
      <c r="E219" s="4">
        <v>35296.54</v>
      </c>
      <c r="F219" s="4">
        <v>9644</v>
      </c>
      <c r="G219" s="4">
        <v>0</v>
      </c>
      <c r="H219" s="4">
        <v>22</v>
      </c>
      <c r="I219" s="4">
        <v>88</v>
      </c>
      <c r="J219" s="4">
        <v>2.81</v>
      </c>
      <c r="K219" s="4">
        <v>0</v>
      </c>
      <c r="L219" s="4">
        <v>4.7</v>
      </c>
      <c r="M219" s="4">
        <v>752321.72</v>
      </c>
      <c r="N219" s="4">
        <v>137788.51</v>
      </c>
    </row>
    <row r="220" spans="1:14" x14ac:dyDescent="0.35">
      <c r="A220" s="4" t="s">
        <v>77</v>
      </c>
      <c r="B220" s="5">
        <v>45748</v>
      </c>
      <c r="C220" s="4" t="s">
        <v>29</v>
      </c>
      <c r="D220" s="4" t="s">
        <v>18</v>
      </c>
      <c r="E220" s="4">
        <v>47391.09</v>
      </c>
      <c r="F220" s="4">
        <v>11224</v>
      </c>
      <c r="G220" s="4">
        <v>0.14699999999999999</v>
      </c>
      <c r="H220" s="4">
        <v>25</v>
      </c>
      <c r="I220" s="4">
        <v>88.4</v>
      </c>
      <c r="J220" s="4">
        <v>2.44</v>
      </c>
      <c r="K220" s="4">
        <v>0</v>
      </c>
      <c r="L220" s="4">
        <v>4.9000000000000004</v>
      </c>
      <c r="M220" s="4">
        <v>836908.24</v>
      </c>
      <c r="N220" s="4">
        <v>141090.26</v>
      </c>
    </row>
    <row r="221" spans="1:14" x14ac:dyDescent="0.35">
      <c r="A221" s="4" t="s">
        <v>78</v>
      </c>
      <c r="B221" s="5">
        <v>45658</v>
      </c>
      <c r="C221" s="4" t="s">
        <v>22</v>
      </c>
      <c r="D221" s="4" t="s">
        <v>23</v>
      </c>
      <c r="E221" s="4">
        <v>69180.539999999994</v>
      </c>
      <c r="F221" s="4">
        <v>5394</v>
      </c>
      <c r="G221" s="4">
        <v>0.126</v>
      </c>
      <c r="H221" s="4">
        <v>12</v>
      </c>
      <c r="I221" s="4">
        <v>82.9</v>
      </c>
      <c r="J221" s="4">
        <v>3.27</v>
      </c>
      <c r="K221" s="4">
        <v>0</v>
      </c>
      <c r="L221" s="4">
        <v>3.3</v>
      </c>
      <c r="M221" s="4">
        <v>674289.1</v>
      </c>
      <c r="N221" s="4">
        <v>117773.79</v>
      </c>
    </row>
    <row r="222" spans="1:14" x14ac:dyDescent="0.35">
      <c r="A222" s="4" t="s">
        <v>78</v>
      </c>
      <c r="B222" s="5">
        <v>45689</v>
      </c>
      <c r="C222" s="4" t="s">
        <v>22</v>
      </c>
      <c r="D222" s="4" t="s">
        <v>23</v>
      </c>
      <c r="E222" s="4">
        <v>33987.33</v>
      </c>
      <c r="F222" s="4">
        <v>5014</v>
      </c>
      <c r="G222" s="4">
        <v>0.246</v>
      </c>
      <c r="H222" s="4">
        <v>17</v>
      </c>
      <c r="I222" s="4">
        <v>94.3</v>
      </c>
      <c r="J222" s="4">
        <v>10.34</v>
      </c>
      <c r="K222" s="4">
        <v>0</v>
      </c>
      <c r="L222" s="4">
        <v>3.9</v>
      </c>
      <c r="M222" s="4">
        <v>622892.42000000004</v>
      </c>
      <c r="N222" s="4">
        <v>101032.52</v>
      </c>
    </row>
    <row r="223" spans="1:14" x14ac:dyDescent="0.35">
      <c r="A223" s="4" t="s">
        <v>78</v>
      </c>
      <c r="B223" s="5">
        <v>45717</v>
      </c>
      <c r="C223" s="4" t="s">
        <v>22</v>
      </c>
      <c r="D223" s="4" t="s">
        <v>23</v>
      </c>
      <c r="E223" s="4">
        <v>58785.33</v>
      </c>
      <c r="F223" s="4">
        <v>4467</v>
      </c>
      <c r="G223" s="4">
        <v>0.22900000000000001</v>
      </c>
      <c r="H223" s="4">
        <v>14</v>
      </c>
      <c r="I223" s="4">
        <v>90.7</v>
      </c>
      <c r="J223" s="4">
        <v>1.92</v>
      </c>
      <c r="K223" s="4">
        <v>0</v>
      </c>
      <c r="L223" s="4">
        <v>3.7</v>
      </c>
      <c r="M223" s="4">
        <v>673348.56</v>
      </c>
      <c r="N223" s="4">
        <v>69464.59</v>
      </c>
    </row>
    <row r="224" spans="1:14" x14ac:dyDescent="0.35">
      <c r="A224" s="4" t="s">
        <v>78</v>
      </c>
      <c r="B224" s="5">
        <v>45748</v>
      </c>
      <c r="C224" s="4" t="s">
        <v>22</v>
      </c>
      <c r="D224" s="4" t="s">
        <v>23</v>
      </c>
      <c r="E224" s="4">
        <v>16451.849999999999</v>
      </c>
      <c r="F224" s="4">
        <v>4678</v>
      </c>
      <c r="G224" s="4">
        <v>0.13300000000000001</v>
      </c>
      <c r="H224" s="4">
        <v>11</v>
      </c>
      <c r="I224" s="4">
        <v>95.9</v>
      </c>
      <c r="J224" s="4">
        <v>3.1</v>
      </c>
      <c r="K224" s="4">
        <v>0</v>
      </c>
      <c r="L224" s="4">
        <v>3.9</v>
      </c>
      <c r="M224" s="4">
        <v>606278.30000000005</v>
      </c>
      <c r="N224" s="4">
        <v>102213.26</v>
      </c>
    </row>
    <row r="225" spans="1:14" x14ac:dyDescent="0.35">
      <c r="A225" s="4" t="s">
        <v>79</v>
      </c>
      <c r="B225" s="5">
        <v>45658</v>
      </c>
      <c r="C225" s="4" t="s">
        <v>17</v>
      </c>
      <c r="D225" s="4" t="s">
        <v>20</v>
      </c>
      <c r="E225" s="4">
        <v>53367.73</v>
      </c>
      <c r="F225" s="4">
        <v>7291</v>
      </c>
      <c r="G225" s="4">
        <v>0.14599999999999999</v>
      </c>
      <c r="H225" s="4">
        <v>18</v>
      </c>
      <c r="I225" s="4">
        <v>90.6</v>
      </c>
      <c r="J225" s="4">
        <v>6.34</v>
      </c>
      <c r="K225" s="4">
        <v>1</v>
      </c>
      <c r="L225" s="4">
        <v>3.8</v>
      </c>
      <c r="M225" s="4">
        <v>712219.81</v>
      </c>
      <c r="N225" s="4">
        <v>85906.54</v>
      </c>
    </row>
    <row r="226" spans="1:14" x14ac:dyDescent="0.35">
      <c r="A226" s="4" t="s">
        <v>79</v>
      </c>
      <c r="B226" s="5">
        <v>45689</v>
      </c>
      <c r="C226" s="4" t="s">
        <v>17</v>
      </c>
      <c r="D226" s="4" t="s">
        <v>20</v>
      </c>
      <c r="E226" s="4">
        <v>27194.639999999999</v>
      </c>
      <c r="F226" s="4">
        <v>7404</v>
      </c>
      <c r="G226" s="4">
        <v>8.7999999999999995E-2</v>
      </c>
      <c r="H226" s="4">
        <v>18</v>
      </c>
      <c r="I226" s="4">
        <v>90.2</v>
      </c>
      <c r="J226" s="4">
        <v>1.2</v>
      </c>
      <c r="K226" s="4">
        <v>0</v>
      </c>
      <c r="L226" s="4">
        <v>3.4</v>
      </c>
      <c r="M226" s="4">
        <v>672670.54</v>
      </c>
      <c r="N226" s="4">
        <v>132684.18</v>
      </c>
    </row>
    <row r="227" spans="1:14" x14ac:dyDescent="0.35">
      <c r="A227" s="4" t="s">
        <v>79</v>
      </c>
      <c r="B227" s="5">
        <v>45717</v>
      </c>
      <c r="C227" s="4" t="s">
        <v>17</v>
      </c>
      <c r="D227" s="4" t="s">
        <v>20</v>
      </c>
      <c r="E227" s="4">
        <v>66962.740000000005</v>
      </c>
      <c r="F227" s="4">
        <v>7880</v>
      </c>
      <c r="G227" s="4">
        <v>0.11600000000000001</v>
      </c>
      <c r="H227" s="4">
        <v>19</v>
      </c>
      <c r="I227" s="4">
        <v>90.4</v>
      </c>
      <c r="J227" s="4">
        <v>4.5</v>
      </c>
      <c r="K227" s="4">
        <v>0</v>
      </c>
      <c r="L227" s="4">
        <v>3.3</v>
      </c>
      <c r="M227" s="4">
        <v>732667.92</v>
      </c>
      <c r="N227" s="4">
        <v>128654.46</v>
      </c>
    </row>
    <row r="228" spans="1:14" x14ac:dyDescent="0.35">
      <c r="A228" s="4" t="s">
        <v>79</v>
      </c>
      <c r="B228" s="5">
        <v>45748</v>
      </c>
      <c r="C228" s="4" t="s">
        <v>17</v>
      </c>
      <c r="D228" s="4" t="s">
        <v>20</v>
      </c>
      <c r="E228" s="4">
        <v>73540.990000000005</v>
      </c>
      <c r="F228" s="4">
        <v>8773</v>
      </c>
      <c r="G228" s="4">
        <v>3.5000000000000003E-2</v>
      </c>
      <c r="H228" s="4">
        <v>21</v>
      </c>
      <c r="I228" s="4">
        <v>84.4</v>
      </c>
      <c r="J228" s="4">
        <v>6.68</v>
      </c>
      <c r="K228" s="4">
        <v>0</v>
      </c>
      <c r="L228" s="4">
        <v>3.6</v>
      </c>
      <c r="M228" s="4">
        <v>723531.4</v>
      </c>
      <c r="N228" s="4">
        <v>108794.85</v>
      </c>
    </row>
    <row r="229" spans="1:14" x14ac:dyDescent="0.35">
      <c r="A229" s="4" t="s">
        <v>80</v>
      </c>
      <c r="B229" s="5">
        <v>45658</v>
      </c>
      <c r="C229" s="4" t="s">
        <v>17</v>
      </c>
      <c r="D229" s="4" t="s">
        <v>30</v>
      </c>
      <c r="E229" s="4">
        <v>68212.289999999994</v>
      </c>
      <c r="F229" s="4">
        <v>4713</v>
      </c>
      <c r="G229" s="4">
        <v>0.19800000000000001</v>
      </c>
      <c r="H229" s="4">
        <v>15</v>
      </c>
      <c r="I229" s="4">
        <v>82.6</v>
      </c>
      <c r="J229" s="4">
        <v>4.07</v>
      </c>
      <c r="K229" s="4">
        <v>1</v>
      </c>
      <c r="L229" s="4">
        <v>3</v>
      </c>
      <c r="M229" s="4">
        <v>641564.6</v>
      </c>
      <c r="N229" s="4">
        <v>90468.96</v>
      </c>
    </row>
    <row r="230" spans="1:14" x14ac:dyDescent="0.35">
      <c r="A230" s="4" t="s">
        <v>80</v>
      </c>
      <c r="B230" s="5">
        <v>45689</v>
      </c>
      <c r="C230" s="4" t="s">
        <v>17</v>
      </c>
      <c r="D230" s="4" t="s">
        <v>30</v>
      </c>
      <c r="E230" s="4">
        <v>57225.98</v>
      </c>
      <c r="F230" s="4">
        <v>2842</v>
      </c>
      <c r="G230" s="4">
        <v>0.112</v>
      </c>
      <c r="H230" s="4">
        <v>10</v>
      </c>
      <c r="I230" s="4">
        <v>79.5</v>
      </c>
      <c r="J230" s="4">
        <v>5.45</v>
      </c>
      <c r="K230" s="4">
        <v>0</v>
      </c>
      <c r="L230" s="4">
        <v>3.4</v>
      </c>
      <c r="M230" s="4">
        <v>536545.49</v>
      </c>
      <c r="N230" s="4">
        <v>97917.45</v>
      </c>
    </row>
    <row r="231" spans="1:14" x14ac:dyDescent="0.35">
      <c r="A231" s="4" t="s">
        <v>80</v>
      </c>
      <c r="B231" s="5">
        <v>45717</v>
      </c>
      <c r="C231" s="4" t="s">
        <v>17</v>
      </c>
      <c r="D231" s="4" t="s">
        <v>30</v>
      </c>
      <c r="E231" s="4">
        <v>42932.02</v>
      </c>
      <c r="F231" s="4">
        <v>3872</v>
      </c>
      <c r="G231" s="4">
        <v>0.17100000000000001</v>
      </c>
      <c r="H231" s="4">
        <v>12</v>
      </c>
      <c r="I231" s="4">
        <v>83.2</v>
      </c>
      <c r="J231" s="4">
        <v>15.58</v>
      </c>
      <c r="K231" s="4">
        <v>0</v>
      </c>
      <c r="L231" s="4">
        <v>3.3</v>
      </c>
      <c r="M231" s="4">
        <v>527681.56000000006</v>
      </c>
      <c r="N231" s="4">
        <v>63153.05</v>
      </c>
    </row>
    <row r="232" spans="1:14" x14ac:dyDescent="0.35">
      <c r="A232" s="4" t="s">
        <v>80</v>
      </c>
      <c r="B232" s="5">
        <v>45748</v>
      </c>
      <c r="C232" s="4" t="s">
        <v>17</v>
      </c>
      <c r="D232" s="4" t="s">
        <v>30</v>
      </c>
      <c r="E232" s="4">
        <v>39341.449999999997</v>
      </c>
      <c r="F232" s="4">
        <v>1375</v>
      </c>
      <c r="G232" s="4">
        <v>9.2999999999999999E-2</v>
      </c>
      <c r="H232" s="4">
        <v>5</v>
      </c>
      <c r="I232" s="4">
        <v>95</v>
      </c>
      <c r="J232" s="4">
        <v>5.32</v>
      </c>
      <c r="K232" s="4">
        <v>0</v>
      </c>
      <c r="L232" s="4"/>
      <c r="M232" s="4">
        <v>529598.93999999994</v>
      </c>
      <c r="N232" s="4">
        <v>84334.33</v>
      </c>
    </row>
    <row r="233" spans="1:14" x14ac:dyDescent="0.35">
      <c r="A233" s="4" t="s">
        <v>81</v>
      </c>
      <c r="B233" s="5">
        <v>45658</v>
      </c>
      <c r="C233" s="4" t="s">
        <v>17</v>
      </c>
      <c r="D233" s="4" t="s">
        <v>20</v>
      </c>
      <c r="E233" s="4">
        <v>37324.230000000003</v>
      </c>
      <c r="F233" s="4">
        <v>5957</v>
      </c>
      <c r="G233" s="4">
        <v>7.0999999999999994E-2</v>
      </c>
      <c r="H233" s="4">
        <v>12</v>
      </c>
      <c r="I233" s="4">
        <v>85.9</v>
      </c>
      <c r="J233" s="4">
        <v>0.37</v>
      </c>
      <c r="K233" s="4">
        <v>0</v>
      </c>
      <c r="L233" s="4">
        <v>3.8</v>
      </c>
      <c r="M233" s="4">
        <v>570963.31000000006</v>
      </c>
      <c r="N233" s="4">
        <v>87342.25</v>
      </c>
    </row>
    <row r="234" spans="1:14" x14ac:dyDescent="0.35">
      <c r="A234" s="4" t="s">
        <v>81</v>
      </c>
      <c r="B234" s="5">
        <v>45689</v>
      </c>
      <c r="C234" s="4" t="s">
        <v>17</v>
      </c>
      <c r="D234" s="4" t="s">
        <v>20</v>
      </c>
      <c r="E234" s="4">
        <v>113736</v>
      </c>
      <c r="F234" s="4">
        <v>8961</v>
      </c>
      <c r="G234" s="4">
        <v>0.20200000000000001</v>
      </c>
      <c r="H234" s="4">
        <v>24</v>
      </c>
      <c r="I234" s="4">
        <v>86.2</v>
      </c>
      <c r="J234" s="4">
        <v>21.63</v>
      </c>
      <c r="K234" s="4">
        <v>0</v>
      </c>
      <c r="L234" s="4">
        <v>4</v>
      </c>
      <c r="M234" s="4">
        <v>870937.4</v>
      </c>
      <c r="N234" s="4">
        <v>175282.74</v>
      </c>
    </row>
    <row r="235" spans="1:14" x14ac:dyDescent="0.35">
      <c r="A235" s="4" t="s">
        <v>81</v>
      </c>
      <c r="B235" s="5">
        <v>45717</v>
      </c>
      <c r="C235" s="4" t="s">
        <v>17</v>
      </c>
      <c r="D235" s="4" t="s">
        <v>20</v>
      </c>
      <c r="E235" s="4">
        <v>33173.949999999997</v>
      </c>
      <c r="F235" s="4">
        <v>6545</v>
      </c>
      <c r="G235" s="4">
        <v>0.16900000000000001</v>
      </c>
      <c r="H235" s="4">
        <v>15</v>
      </c>
      <c r="I235" s="4">
        <v>84.4</v>
      </c>
      <c r="J235" s="4">
        <v>2.48</v>
      </c>
      <c r="K235" s="4">
        <v>0</v>
      </c>
      <c r="L235" s="4">
        <v>3.9</v>
      </c>
      <c r="M235" s="4">
        <v>596969.27</v>
      </c>
      <c r="N235" s="4">
        <v>105669.51</v>
      </c>
    </row>
    <row r="236" spans="1:14" x14ac:dyDescent="0.35">
      <c r="A236" s="4" t="s">
        <v>81</v>
      </c>
      <c r="B236" s="5">
        <v>45748</v>
      </c>
      <c r="C236" s="4" t="s">
        <v>17</v>
      </c>
      <c r="D236" s="4" t="s">
        <v>20</v>
      </c>
      <c r="E236" s="4">
        <v>25818.080000000002</v>
      </c>
      <c r="F236" s="4">
        <v>5457</v>
      </c>
      <c r="G236" s="4">
        <v>0</v>
      </c>
      <c r="H236" s="4">
        <v>11</v>
      </c>
      <c r="I236" s="4">
        <v>95.4</v>
      </c>
      <c r="J236" s="4"/>
      <c r="K236" s="4">
        <v>0</v>
      </c>
      <c r="L236" s="4">
        <v>3.7</v>
      </c>
      <c r="M236" s="4">
        <v>647512.85</v>
      </c>
      <c r="N236" s="4">
        <v>153835.57</v>
      </c>
    </row>
    <row r="237" spans="1:14" x14ac:dyDescent="0.35">
      <c r="A237" s="4" t="s">
        <v>82</v>
      </c>
      <c r="B237" s="5">
        <v>45658</v>
      </c>
      <c r="C237" s="4" t="s">
        <v>29</v>
      </c>
      <c r="D237" s="4" t="s">
        <v>18</v>
      </c>
      <c r="E237" s="4">
        <v>47241.919999999998</v>
      </c>
      <c r="F237" s="4">
        <v>4264</v>
      </c>
      <c r="G237" s="4">
        <v>6.9000000000000006E-2</v>
      </c>
      <c r="H237" s="4">
        <v>13</v>
      </c>
      <c r="I237" s="4">
        <v>95.3</v>
      </c>
      <c r="J237" s="4">
        <v>0.85</v>
      </c>
      <c r="K237" s="4">
        <v>0</v>
      </c>
      <c r="L237" s="4">
        <v>4.3</v>
      </c>
      <c r="M237" s="4">
        <v>658072.14</v>
      </c>
      <c r="N237" s="4">
        <v>110595.89</v>
      </c>
    </row>
    <row r="238" spans="1:14" x14ac:dyDescent="0.35">
      <c r="A238" s="4" t="s">
        <v>82</v>
      </c>
      <c r="B238" s="5">
        <v>45689</v>
      </c>
      <c r="C238" s="4" t="s">
        <v>29</v>
      </c>
      <c r="D238" s="4" t="s">
        <v>18</v>
      </c>
      <c r="E238" s="4">
        <v>61650.79</v>
      </c>
      <c r="F238" s="4">
        <v>5321</v>
      </c>
      <c r="G238" s="4">
        <v>0.126</v>
      </c>
      <c r="H238" s="4">
        <v>17</v>
      </c>
      <c r="I238" s="4">
        <v>89.2</v>
      </c>
      <c r="J238" s="4">
        <v>2.13</v>
      </c>
      <c r="K238" s="4">
        <v>0</v>
      </c>
      <c r="L238" s="4">
        <v>4</v>
      </c>
      <c r="M238" s="4">
        <v>723305.11</v>
      </c>
      <c r="N238" s="4">
        <v>128468.7</v>
      </c>
    </row>
    <row r="239" spans="1:14" x14ac:dyDescent="0.35">
      <c r="A239" s="4" t="s">
        <v>82</v>
      </c>
      <c r="B239" s="5">
        <v>45717</v>
      </c>
      <c r="C239" s="4" t="s">
        <v>29</v>
      </c>
      <c r="D239" s="4" t="s">
        <v>18</v>
      </c>
      <c r="E239" s="4">
        <v>62582.71</v>
      </c>
      <c r="F239" s="4">
        <v>5479</v>
      </c>
      <c r="G239" s="4">
        <v>4.8000000000000001E-2</v>
      </c>
      <c r="H239" s="4">
        <v>16</v>
      </c>
      <c r="I239" s="4">
        <v>81.2</v>
      </c>
      <c r="J239" s="4">
        <v>1.46</v>
      </c>
      <c r="K239" s="4">
        <v>0</v>
      </c>
      <c r="L239" s="4">
        <v>4.5</v>
      </c>
      <c r="M239" s="4">
        <v>640666.53</v>
      </c>
      <c r="N239" s="4">
        <v>134919.16</v>
      </c>
    </row>
    <row r="240" spans="1:14" x14ac:dyDescent="0.35">
      <c r="A240" s="4" t="s">
        <v>82</v>
      </c>
      <c r="B240" s="5">
        <v>45748</v>
      </c>
      <c r="C240" s="4" t="s">
        <v>29</v>
      </c>
      <c r="D240" s="4" t="s">
        <v>18</v>
      </c>
      <c r="E240" s="4">
        <v>47944.14</v>
      </c>
      <c r="F240" s="4">
        <v>6169</v>
      </c>
      <c r="G240" s="4">
        <v>0.11899999999999999</v>
      </c>
      <c r="H240" s="4">
        <v>17</v>
      </c>
      <c r="I240" s="4">
        <v>92.2</v>
      </c>
      <c r="J240" s="4">
        <v>3.02</v>
      </c>
      <c r="K240" s="4">
        <v>0</v>
      </c>
      <c r="L240" s="4">
        <v>4.0999999999999996</v>
      </c>
      <c r="M240" s="4">
        <v>670629.48</v>
      </c>
      <c r="N240" s="4">
        <v>100140.8</v>
      </c>
    </row>
    <row r="241" spans="1:14" x14ac:dyDescent="0.35">
      <c r="A241" s="4" t="s">
        <v>83</v>
      </c>
      <c r="B241" s="5">
        <v>45658</v>
      </c>
      <c r="C241" s="4" t="s">
        <v>29</v>
      </c>
      <c r="D241" s="4" t="s">
        <v>30</v>
      </c>
      <c r="E241" s="4">
        <v>46495.4</v>
      </c>
      <c r="F241" s="4">
        <v>9908</v>
      </c>
      <c r="G241" s="4">
        <v>0.121</v>
      </c>
      <c r="H241" s="4">
        <v>22</v>
      </c>
      <c r="I241" s="4">
        <v>89.4</v>
      </c>
      <c r="J241" s="4">
        <v>3.22</v>
      </c>
      <c r="K241" s="4">
        <v>0</v>
      </c>
      <c r="L241" s="4">
        <v>3.7</v>
      </c>
      <c r="M241" s="4">
        <v>721079.35</v>
      </c>
      <c r="N241" s="4">
        <v>115295.05</v>
      </c>
    </row>
    <row r="242" spans="1:14" x14ac:dyDescent="0.35">
      <c r="A242" s="4" t="s">
        <v>83</v>
      </c>
      <c r="B242" s="5">
        <v>45689</v>
      </c>
      <c r="C242" s="4" t="s">
        <v>29</v>
      </c>
      <c r="D242" s="4" t="s">
        <v>30</v>
      </c>
      <c r="E242" s="4">
        <v>72961.95</v>
      </c>
      <c r="F242" s="4">
        <v>9996</v>
      </c>
      <c r="G242" s="4">
        <v>0.106</v>
      </c>
      <c r="H242" s="4">
        <v>22</v>
      </c>
      <c r="I242" s="4">
        <v>89.1</v>
      </c>
      <c r="J242" s="4">
        <v>15.66</v>
      </c>
      <c r="K242" s="4">
        <v>0</v>
      </c>
      <c r="L242" s="4">
        <v>3.4</v>
      </c>
      <c r="M242" s="4">
        <v>810355.02</v>
      </c>
      <c r="N242" s="4">
        <v>131510</v>
      </c>
    </row>
    <row r="243" spans="1:14" x14ac:dyDescent="0.35">
      <c r="A243" s="4" t="s">
        <v>83</v>
      </c>
      <c r="B243" s="5">
        <v>45717</v>
      </c>
      <c r="C243" s="4" t="s">
        <v>29</v>
      </c>
      <c r="D243" s="4" t="s">
        <v>30</v>
      </c>
      <c r="E243" s="4">
        <v>59060.05</v>
      </c>
      <c r="F243" s="4">
        <v>9702</v>
      </c>
      <c r="G243" s="4">
        <v>0.20100000000000001</v>
      </c>
      <c r="H243" s="4">
        <v>23</v>
      </c>
      <c r="I243" s="4">
        <v>80.900000000000006</v>
      </c>
      <c r="J243" s="4">
        <v>6.96</v>
      </c>
      <c r="K243" s="4">
        <v>0</v>
      </c>
      <c r="L243" s="4">
        <v>3.2</v>
      </c>
      <c r="M243" s="4">
        <v>761919.25</v>
      </c>
      <c r="N243" s="4">
        <v>111893.06</v>
      </c>
    </row>
    <row r="244" spans="1:14" x14ac:dyDescent="0.35">
      <c r="A244" s="4" t="s">
        <v>83</v>
      </c>
      <c r="B244" s="5">
        <v>45748</v>
      </c>
      <c r="C244" s="4" t="s">
        <v>29</v>
      </c>
      <c r="D244" s="4" t="s">
        <v>30</v>
      </c>
      <c r="E244" s="4">
        <v>26248.1</v>
      </c>
      <c r="F244" s="4">
        <v>9314</v>
      </c>
      <c r="G244" s="4">
        <v>0.186</v>
      </c>
      <c r="H244" s="4">
        <v>21</v>
      </c>
      <c r="I244" s="4">
        <v>83.7</v>
      </c>
      <c r="J244" s="4">
        <v>4.62</v>
      </c>
      <c r="K244" s="4">
        <v>0</v>
      </c>
      <c r="L244" s="4">
        <v>3.3</v>
      </c>
      <c r="M244" s="4">
        <v>737070.18</v>
      </c>
      <c r="N244" s="4">
        <v>117593.97</v>
      </c>
    </row>
    <row r="245" spans="1:14" x14ac:dyDescent="0.35">
      <c r="A245" s="4" t="s">
        <v>84</v>
      </c>
      <c r="B245" s="5">
        <v>45658</v>
      </c>
      <c r="C245" s="4" t="s">
        <v>26</v>
      </c>
      <c r="D245" s="4" t="s">
        <v>23</v>
      </c>
      <c r="E245" s="4">
        <v>69900.12</v>
      </c>
      <c r="F245" s="4">
        <v>8055</v>
      </c>
      <c r="G245" s="4">
        <v>0.28100000000000003</v>
      </c>
      <c r="H245" s="4">
        <v>22</v>
      </c>
      <c r="I245" s="4">
        <v>85.6</v>
      </c>
      <c r="J245" s="4">
        <v>10.68</v>
      </c>
      <c r="K245" s="4">
        <v>1</v>
      </c>
      <c r="L245" s="4">
        <v>2.9</v>
      </c>
      <c r="M245" s="4">
        <v>776992.93</v>
      </c>
      <c r="N245" s="4">
        <v>101598.32</v>
      </c>
    </row>
    <row r="246" spans="1:14" x14ac:dyDescent="0.35">
      <c r="A246" s="4" t="s">
        <v>84</v>
      </c>
      <c r="B246" s="5">
        <v>45689</v>
      </c>
      <c r="C246" s="4" t="s">
        <v>26</v>
      </c>
      <c r="D246" s="4" t="s">
        <v>23</v>
      </c>
      <c r="E246" s="4">
        <v>51781.599999999999</v>
      </c>
      <c r="F246" s="4">
        <v>5648</v>
      </c>
      <c r="G246" s="4">
        <v>5.8999999999999997E-2</v>
      </c>
      <c r="H246" s="4">
        <v>13</v>
      </c>
      <c r="I246" s="4">
        <v>85.5</v>
      </c>
      <c r="J246" s="4">
        <v>4.04</v>
      </c>
      <c r="K246" s="4">
        <v>0</v>
      </c>
      <c r="L246" s="4">
        <v>3.7</v>
      </c>
      <c r="M246" s="4">
        <v>676337.41</v>
      </c>
      <c r="N246" s="4">
        <v>104355.77</v>
      </c>
    </row>
    <row r="247" spans="1:14" x14ac:dyDescent="0.35">
      <c r="A247" s="4" t="s">
        <v>84</v>
      </c>
      <c r="B247" s="5">
        <v>45717</v>
      </c>
      <c r="C247" s="4" t="s">
        <v>26</v>
      </c>
      <c r="D247" s="4" t="s">
        <v>23</v>
      </c>
      <c r="E247" s="4">
        <v>70799.64</v>
      </c>
      <c r="F247" s="4">
        <v>10076</v>
      </c>
      <c r="G247" s="4">
        <v>0.152</v>
      </c>
      <c r="H247" s="4">
        <v>24</v>
      </c>
      <c r="I247" s="4">
        <v>84.8</v>
      </c>
      <c r="J247" s="4">
        <v>1.87</v>
      </c>
      <c r="K247" s="4">
        <v>0</v>
      </c>
      <c r="L247" s="4">
        <v>3.5</v>
      </c>
      <c r="M247" s="4">
        <v>828219.67</v>
      </c>
      <c r="N247" s="4">
        <v>179806.87</v>
      </c>
    </row>
    <row r="248" spans="1:14" x14ac:dyDescent="0.35">
      <c r="A248" s="4" t="s">
        <v>84</v>
      </c>
      <c r="B248" s="5">
        <v>45748</v>
      </c>
      <c r="C248" s="4" t="s">
        <v>26</v>
      </c>
      <c r="D248" s="4" t="s">
        <v>23</v>
      </c>
      <c r="E248" s="4">
        <v>53546.34</v>
      </c>
      <c r="F248" s="4">
        <v>8004</v>
      </c>
      <c r="G248" s="4">
        <v>0</v>
      </c>
      <c r="H248" s="4">
        <v>21</v>
      </c>
      <c r="I248" s="4">
        <v>95.2</v>
      </c>
      <c r="J248" s="4">
        <v>2.83</v>
      </c>
      <c r="K248" s="4">
        <v>0</v>
      </c>
      <c r="L248" s="4">
        <v>3</v>
      </c>
      <c r="M248" s="4">
        <v>763159.92</v>
      </c>
      <c r="N248" s="4">
        <v>177104.87</v>
      </c>
    </row>
    <row r="249" spans="1:14" x14ac:dyDescent="0.35">
      <c r="A249" s="4" t="s">
        <v>85</v>
      </c>
      <c r="B249" s="5">
        <v>45658</v>
      </c>
      <c r="C249" s="4" t="s">
        <v>17</v>
      </c>
      <c r="D249" s="4" t="s">
        <v>20</v>
      </c>
      <c r="E249" s="4">
        <v>76942.2</v>
      </c>
      <c r="F249" s="4">
        <v>8934</v>
      </c>
      <c r="G249" s="4">
        <v>8.4000000000000005E-2</v>
      </c>
      <c r="H249" s="4">
        <v>20</v>
      </c>
      <c r="I249" s="4">
        <v>91</v>
      </c>
      <c r="J249" s="4">
        <v>0.95</v>
      </c>
      <c r="K249" s="4">
        <v>0</v>
      </c>
      <c r="L249" s="4">
        <v>3.2</v>
      </c>
      <c r="M249" s="4">
        <v>802001.68</v>
      </c>
      <c r="N249" s="4">
        <v>159715.82</v>
      </c>
    </row>
    <row r="250" spans="1:14" x14ac:dyDescent="0.35">
      <c r="A250" s="4" t="s">
        <v>85</v>
      </c>
      <c r="B250" s="5">
        <v>45689</v>
      </c>
      <c r="C250" s="4" t="s">
        <v>17</v>
      </c>
      <c r="D250" s="4" t="s">
        <v>20</v>
      </c>
      <c r="E250" s="4">
        <v>48060.78</v>
      </c>
      <c r="F250" s="4">
        <v>8733</v>
      </c>
      <c r="G250" s="4">
        <v>0</v>
      </c>
      <c r="H250" s="4">
        <v>20</v>
      </c>
      <c r="I250" s="4">
        <v>89.9</v>
      </c>
      <c r="J250" s="4">
        <v>0.8</v>
      </c>
      <c r="K250" s="4">
        <v>0</v>
      </c>
      <c r="L250" s="4">
        <v>3.4</v>
      </c>
      <c r="M250" s="4">
        <v>750471.34</v>
      </c>
      <c r="N250" s="4">
        <v>133788.04</v>
      </c>
    </row>
    <row r="251" spans="1:14" x14ac:dyDescent="0.35">
      <c r="A251" s="4" t="s">
        <v>85</v>
      </c>
      <c r="B251" s="5">
        <v>45717</v>
      </c>
      <c r="C251" s="4" t="s">
        <v>17</v>
      </c>
      <c r="D251" s="4" t="s">
        <v>20</v>
      </c>
      <c r="E251" s="4">
        <v>57390.04</v>
      </c>
      <c r="F251" s="4">
        <v>7374</v>
      </c>
      <c r="G251" s="4">
        <v>0.21</v>
      </c>
      <c r="H251" s="4">
        <v>21</v>
      </c>
      <c r="I251" s="4">
        <v>91.8</v>
      </c>
      <c r="J251" s="4">
        <v>0.2</v>
      </c>
      <c r="K251" s="4">
        <v>0</v>
      </c>
      <c r="L251" s="4">
        <v>3.1</v>
      </c>
      <c r="M251" s="4">
        <v>679230.86</v>
      </c>
      <c r="N251" s="4">
        <v>106927.58</v>
      </c>
    </row>
    <row r="252" spans="1:14" x14ac:dyDescent="0.35">
      <c r="A252" s="4" t="s">
        <v>85</v>
      </c>
      <c r="B252" s="5">
        <v>45748</v>
      </c>
      <c r="C252" s="4" t="s">
        <v>17</v>
      </c>
      <c r="D252" s="4" t="s">
        <v>20</v>
      </c>
      <c r="E252" s="4">
        <v>21536.18</v>
      </c>
      <c r="F252" s="4">
        <v>8119</v>
      </c>
      <c r="G252" s="4">
        <v>0.22700000000000001</v>
      </c>
      <c r="H252" s="4">
        <v>20</v>
      </c>
      <c r="I252" s="4">
        <v>90.4</v>
      </c>
      <c r="J252" s="4">
        <v>1.7</v>
      </c>
      <c r="K252" s="4">
        <v>0</v>
      </c>
      <c r="L252" s="4">
        <v>3.3</v>
      </c>
      <c r="M252" s="4">
        <v>679888.74</v>
      </c>
      <c r="N252" s="4">
        <v>83406.89</v>
      </c>
    </row>
    <row r="253" spans="1:14" x14ac:dyDescent="0.35">
      <c r="A253" s="4" t="s">
        <v>86</v>
      </c>
      <c r="B253" s="5">
        <v>45658</v>
      </c>
      <c r="C253" s="4" t="s">
        <v>22</v>
      </c>
      <c r="D253" s="4" t="s">
        <v>20</v>
      </c>
      <c r="E253" s="4">
        <v>40923.67</v>
      </c>
      <c r="F253" s="4">
        <v>3875</v>
      </c>
      <c r="G253" s="4">
        <v>0.15</v>
      </c>
      <c r="H253" s="4">
        <v>10</v>
      </c>
      <c r="I253" s="4">
        <v>96.1</v>
      </c>
      <c r="J253" s="4"/>
      <c r="K253" s="4">
        <v>0</v>
      </c>
      <c r="L253" s="4">
        <v>3.8</v>
      </c>
      <c r="M253" s="4">
        <v>606783.67000000004</v>
      </c>
      <c r="N253" s="4">
        <v>74515.87</v>
      </c>
    </row>
    <row r="254" spans="1:14" x14ac:dyDescent="0.35">
      <c r="A254" s="4" t="s">
        <v>86</v>
      </c>
      <c r="B254" s="5">
        <v>45689</v>
      </c>
      <c r="C254" s="4" t="s">
        <v>22</v>
      </c>
      <c r="D254" s="4" t="s">
        <v>20</v>
      </c>
      <c r="E254" s="4">
        <v>72932.55</v>
      </c>
      <c r="F254" s="4">
        <v>5765</v>
      </c>
      <c r="G254" s="4">
        <v>2.5999999999999999E-2</v>
      </c>
      <c r="H254" s="4">
        <v>17</v>
      </c>
      <c r="I254" s="4">
        <v>81.8</v>
      </c>
      <c r="J254" s="4">
        <v>5.0999999999999996</v>
      </c>
      <c r="K254" s="4">
        <v>0</v>
      </c>
      <c r="L254" s="4">
        <v>3.6</v>
      </c>
      <c r="M254" s="4">
        <v>642751.42000000004</v>
      </c>
      <c r="N254" s="4">
        <v>131942.15</v>
      </c>
    </row>
    <row r="255" spans="1:14" x14ac:dyDescent="0.35">
      <c r="A255" s="4" t="s">
        <v>86</v>
      </c>
      <c r="B255" s="5">
        <v>45717</v>
      </c>
      <c r="C255" s="4" t="s">
        <v>22</v>
      </c>
      <c r="D255" s="4" t="s">
        <v>20</v>
      </c>
      <c r="E255" s="4">
        <v>38361.93</v>
      </c>
      <c r="F255" s="4">
        <v>6322</v>
      </c>
      <c r="G255" s="4">
        <v>0.27300000000000002</v>
      </c>
      <c r="H255" s="4">
        <v>15</v>
      </c>
      <c r="I255" s="4">
        <v>88.4</v>
      </c>
      <c r="J255" s="4">
        <v>0.83</v>
      </c>
      <c r="K255" s="4">
        <v>0</v>
      </c>
      <c r="L255" s="4">
        <v>4</v>
      </c>
      <c r="M255" s="4">
        <v>647953.78</v>
      </c>
      <c r="N255" s="4">
        <v>118497.43</v>
      </c>
    </row>
    <row r="256" spans="1:14" x14ac:dyDescent="0.35">
      <c r="A256" s="4" t="s">
        <v>86</v>
      </c>
      <c r="B256" s="5">
        <v>45748</v>
      </c>
      <c r="C256" s="4" t="s">
        <v>22</v>
      </c>
      <c r="D256" s="4" t="s">
        <v>20</v>
      </c>
      <c r="E256" s="4">
        <v>97480.94</v>
      </c>
      <c r="F256" s="4">
        <v>6840</v>
      </c>
      <c r="G256" s="4">
        <v>8.6999999999999994E-2</v>
      </c>
      <c r="H256" s="4">
        <v>14</v>
      </c>
      <c r="I256" s="4">
        <v>79.2</v>
      </c>
      <c r="J256" s="4">
        <v>1.1399999999999999</v>
      </c>
      <c r="K256" s="4">
        <v>0</v>
      </c>
      <c r="L256" s="4">
        <v>4</v>
      </c>
      <c r="M256" s="4">
        <v>729440.45</v>
      </c>
      <c r="N256" s="4">
        <v>87614.29</v>
      </c>
    </row>
    <row r="257" spans="1:14" x14ac:dyDescent="0.35">
      <c r="A257" s="4" t="s">
        <v>87</v>
      </c>
      <c r="B257" s="5">
        <v>45658</v>
      </c>
      <c r="C257" s="4" t="s">
        <v>26</v>
      </c>
      <c r="D257" s="4" t="s">
        <v>23</v>
      </c>
      <c r="E257" s="4">
        <v>81801.8</v>
      </c>
      <c r="F257" s="4">
        <v>6782</v>
      </c>
      <c r="G257" s="4">
        <v>0.05</v>
      </c>
      <c r="H257" s="4">
        <v>16</v>
      </c>
      <c r="I257" s="4">
        <v>99</v>
      </c>
      <c r="J257" s="4">
        <v>9.5399999999999991</v>
      </c>
      <c r="K257" s="4">
        <v>0</v>
      </c>
      <c r="L257" s="4">
        <v>3.7</v>
      </c>
      <c r="M257" s="4">
        <v>764949</v>
      </c>
      <c r="N257" s="4">
        <v>148322.43</v>
      </c>
    </row>
    <row r="258" spans="1:14" x14ac:dyDescent="0.35">
      <c r="A258" s="4" t="s">
        <v>87</v>
      </c>
      <c r="B258" s="5">
        <v>45689</v>
      </c>
      <c r="C258" s="4" t="s">
        <v>26</v>
      </c>
      <c r="D258" s="4" t="s">
        <v>23</v>
      </c>
      <c r="E258" s="4">
        <v>63582.11</v>
      </c>
      <c r="F258" s="4">
        <v>6856</v>
      </c>
      <c r="G258" s="4">
        <v>7.3999999999999996E-2</v>
      </c>
      <c r="H258" s="4">
        <v>17</v>
      </c>
      <c r="I258" s="4">
        <v>89.5</v>
      </c>
      <c r="J258" s="4">
        <v>5.48</v>
      </c>
      <c r="K258" s="4">
        <v>0</v>
      </c>
      <c r="L258" s="4">
        <v>3.2</v>
      </c>
      <c r="M258" s="4">
        <v>799046.94</v>
      </c>
      <c r="N258" s="4">
        <v>144553.64000000001</v>
      </c>
    </row>
    <row r="259" spans="1:14" x14ac:dyDescent="0.35">
      <c r="A259" s="4" t="s">
        <v>87</v>
      </c>
      <c r="B259" s="5">
        <v>45717</v>
      </c>
      <c r="C259" s="4" t="s">
        <v>26</v>
      </c>
      <c r="D259" s="4" t="s">
        <v>23</v>
      </c>
      <c r="E259" s="4">
        <v>75412.740000000005</v>
      </c>
      <c r="F259" s="4">
        <v>5641</v>
      </c>
      <c r="G259" s="4">
        <v>5.8999999999999997E-2</v>
      </c>
      <c r="H259" s="4">
        <v>13</v>
      </c>
      <c r="I259" s="4">
        <v>87.9</v>
      </c>
      <c r="J259" s="4">
        <v>0.84</v>
      </c>
      <c r="K259" s="4">
        <v>0</v>
      </c>
      <c r="L259" s="4">
        <v>3.6</v>
      </c>
      <c r="M259" s="4">
        <v>720079.54</v>
      </c>
      <c r="N259" s="4">
        <v>119499.47</v>
      </c>
    </row>
    <row r="260" spans="1:14" x14ac:dyDescent="0.35">
      <c r="A260" s="4" t="s">
        <v>87</v>
      </c>
      <c r="B260" s="5">
        <v>45748</v>
      </c>
      <c r="C260" s="4" t="s">
        <v>26</v>
      </c>
      <c r="D260" s="4" t="s">
        <v>23</v>
      </c>
      <c r="E260" s="4">
        <v>36290.080000000002</v>
      </c>
      <c r="F260" s="4">
        <v>5787</v>
      </c>
      <c r="G260" s="4">
        <v>0</v>
      </c>
      <c r="H260" s="4">
        <v>17</v>
      </c>
      <c r="I260" s="4">
        <v>88.3</v>
      </c>
      <c r="J260" s="4">
        <v>4.1900000000000004</v>
      </c>
      <c r="K260" s="4">
        <v>0</v>
      </c>
      <c r="L260" s="4">
        <v>4.0999999999999996</v>
      </c>
      <c r="M260" s="4">
        <v>612390.14</v>
      </c>
      <c r="N260" s="4">
        <v>108985.74</v>
      </c>
    </row>
    <row r="261" spans="1:14" x14ac:dyDescent="0.35">
      <c r="A261" s="4" t="s">
        <v>88</v>
      </c>
      <c r="B261" s="5">
        <v>45658</v>
      </c>
      <c r="C261" s="4" t="s">
        <v>26</v>
      </c>
      <c r="D261" s="4" t="s">
        <v>30</v>
      </c>
      <c r="E261" s="4">
        <v>65272.58</v>
      </c>
      <c r="F261" s="4">
        <v>8165</v>
      </c>
      <c r="G261" s="4">
        <v>5.0999999999999997E-2</v>
      </c>
      <c r="H261" s="4">
        <v>19</v>
      </c>
      <c r="I261" s="4">
        <v>87.8</v>
      </c>
      <c r="J261" s="4">
        <v>1.26</v>
      </c>
      <c r="K261" s="4">
        <v>1</v>
      </c>
      <c r="L261" s="4">
        <v>4.3</v>
      </c>
      <c r="M261" s="4">
        <v>840108.12</v>
      </c>
      <c r="N261" s="4">
        <v>126587.01</v>
      </c>
    </row>
    <row r="262" spans="1:14" x14ac:dyDescent="0.35">
      <c r="A262" s="4" t="s">
        <v>88</v>
      </c>
      <c r="B262" s="5">
        <v>45689</v>
      </c>
      <c r="C262" s="4" t="s">
        <v>26</v>
      </c>
      <c r="D262" s="4" t="s">
        <v>30</v>
      </c>
      <c r="E262" s="4">
        <v>28670.43</v>
      </c>
      <c r="F262" s="4">
        <v>7574</v>
      </c>
      <c r="G262" s="4">
        <v>0.114</v>
      </c>
      <c r="H262" s="4">
        <v>19</v>
      </c>
      <c r="I262" s="4">
        <v>82.7</v>
      </c>
      <c r="J262" s="4">
        <v>2.74</v>
      </c>
      <c r="K262" s="4">
        <v>0</v>
      </c>
      <c r="L262" s="4">
        <v>4.5999999999999996</v>
      </c>
      <c r="M262" s="4">
        <v>697888.09</v>
      </c>
      <c r="N262" s="4">
        <v>116249.87</v>
      </c>
    </row>
    <row r="263" spans="1:14" x14ac:dyDescent="0.35">
      <c r="A263" s="4" t="s">
        <v>88</v>
      </c>
      <c r="B263" s="5">
        <v>45717</v>
      </c>
      <c r="C263" s="4" t="s">
        <v>26</v>
      </c>
      <c r="D263" s="4" t="s">
        <v>30</v>
      </c>
      <c r="E263" s="4">
        <v>44189.34</v>
      </c>
      <c r="F263" s="4">
        <v>8634</v>
      </c>
      <c r="G263" s="4">
        <v>0.14299999999999999</v>
      </c>
      <c r="H263" s="4">
        <v>19</v>
      </c>
      <c r="I263" s="4">
        <v>87.5</v>
      </c>
      <c r="J263" s="4">
        <v>3.69</v>
      </c>
      <c r="K263" s="4">
        <v>0</v>
      </c>
      <c r="L263" s="4">
        <v>4.4000000000000004</v>
      </c>
      <c r="M263" s="4">
        <v>746115.59</v>
      </c>
      <c r="N263" s="4">
        <v>94662.96</v>
      </c>
    </row>
    <row r="264" spans="1:14" x14ac:dyDescent="0.35">
      <c r="A264" s="4" t="s">
        <v>88</v>
      </c>
      <c r="B264" s="5">
        <v>45748</v>
      </c>
      <c r="C264" s="4" t="s">
        <v>26</v>
      </c>
      <c r="D264" s="4" t="s">
        <v>30</v>
      </c>
      <c r="E264" s="4">
        <v>38397.82</v>
      </c>
      <c r="F264" s="4">
        <v>7836</v>
      </c>
      <c r="G264" s="4">
        <v>7.0000000000000001E-3</v>
      </c>
      <c r="H264" s="4">
        <v>21</v>
      </c>
      <c r="I264" s="4">
        <v>92.2</v>
      </c>
      <c r="J264" s="4">
        <v>1.82</v>
      </c>
      <c r="K264" s="4">
        <v>0</v>
      </c>
      <c r="L264" s="4">
        <v>3.6</v>
      </c>
      <c r="M264" s="4">
        <v>776110.32</v>
      </c>
      <c r="N264" s="4">
        <v>139676.21</v>
      </c>
    </row>
    <row r="265" spans="1:14" x14ac:dyDescent="0.35">
      <c r="A265" s="4" t="s">
        <v>89</v>
      </c>
      <c r="B265" s="5">
        <v>45658</v>
      </c>
      <c r="C265" s="4" t="s">
        <v>29</v>
      </c>
      <c r="D265" s="4" t="s">
        <v>20</v>
      </c>
      <c r="E265" s="4">
        <v>14519.37</v>
      </c>
      <c r="F265" s="4">
        <v>3047</v>
      </c>
      <c r="G265" s="4">
        <v>0.13500000000000001</v>
      </c>
      <c r="H265" s="4">
        <v>10</v>
      </c>
      <c r="I265" s="4">
        <v>90.3</v>
      </c>
      <c r="J265" s="4">
        <v>6.62</v>
      </c>
      <c r="K265" s="4">
        <v>0</v>
      </c>
      <c r="L265" s="4">
        <v>4.2</v>
      </c>
      <c r="M265" s="4">
        <v>528852.62</v>
      </c>
      <c r="N265" s="4">
        <v>68426.210000000006</v>
      </c>
    </row>
    <row r="266" spans="1:14" x14ac:dyDescent="0.35">
      <c r="A266" s="4" t="s">
        <v>89</v>
      </c>
      <c r="B266" s="5">
        <v>45689</v>
      </c>
      <c r="C266" s="4" t="s">
        <v>29</v>
      </c>
      <c r="D266" s="4" t="s">
        <v>20</v>
      </c>
      <c r="E266" s="4">
        <v>43288.2</v>
      </c>
      <c r="F266" s="4">
        <v>4783</v>
      </c>
      <c r="G266" s="4">
        <v>0.16900000000000001</v>
      </c>
      <c r="H266" s="4">
        <v>13</v>
      </c>
      <c r="I266" s="4">
        <v>87.3</v>
      </c>
      <c r="J266" s="4"/>
      <c r="K266" s="4">
        <v>0</v>
      </c>
      <c r="L266" s="4">
        <v>4.2</v>
      </c>
      <c r="M266" s="4">
        <v>605751.32999999996</v>
      </c>
      <c r="N266" s="4">
        <v>60685.53</v>
      </c>
    </row>
    <row r="267" spans="1:14" x14ac:dyDescent="0.35">
      <c r="A267" s="4" t="s">
        <v>89</v>
      </c>
      <c r="B267" s="5">
        <v>45717</v>
      </c>
      <c r="C267" s="4" t="s">
        <v>29</v>
      </c>
      <c r="D267" s="4" t="s">
        <v>20</v>
      </c>
      <c r="E267" s="4">
        <v>51450.55</v>
      </c>
      <c r="F267" s="4">
        <v>4902</v>
      </c>
      <c r="G267" s="4">
        <v>8.5999999999999993E-2</v>
      </c>
      <c r="H267" s="4">
        <v>11</v>
      </c>
      <c r="I267" s="4">
        <v>83.7</v>
      </c>
      <c r="J267" s="4">
        <v>6.92</v>
      </c>
      <c r="K267" s="4">
        <v>1</v>
      </c>
      <c r="L267" s="4">
        <v>4.2</v>
      </c>
      <c r="M267" s="4">
        <v>677640.65</v>
      </c>
      <c r="N267" s="4">
        <v>111610.89</v>
      </c>
    </row>
    <row r="268" spans="1:14" x14ac:dyDescent="0.35">
      <c r="A268" s="4" t="s">
        <v>89</v>
      </c>
      <c r="B268" s="5">
        <v>45748</v>
      </c>
      <c r="C268" s="4" t="s">
        <v>29</v>
      </c>
      <c r="D268" s="4" t="s">
        <v>20</v>
      </c>
      <c r="E268" s="4">
        <v>58688.26</v>
      </c>
      <c r="F268" s="4">
        <v>4022</v>
      </c>
      <c r="G268" s="4">
        <v>0.217</v>
      </c>
      <c r="H268" s="4">
        <v>12</v>
      </c>
      <c r="I268" s="4">
        <v>93.8</v>
      </c>
      <c r="J268" s="4">
        <v>11.78</v>
      </c>
      <c r="K268" s="4">
        <v>0</v>
      </c>
      <c r="L268" s="4">
        <v>3.7</v>
      </c>
      <c r="M268" s="4">
        <v>636613.23</v>
      </c>
      <c r="N268" s="4">
        <v>78908.350000000006</v>
      </c>
    </row>
    <row r="269" spans="1:14" x14ac:dyDescent="0.35">
      <c r="A269" s="4" t="s">
        <v>90</v>
      </c>
      <c r="B269" s="5">
        <v>45658</v>
      </c>
      <c r="C269" s="4" t="s">
        <v>17</v>
      </c>
      <c r="D269" s="4" t="s">
        <v>20</v>
      </c>
      <c r="E269" s="4">
        <v>58981.91</v>
      </c>
      <c r="F269" s="4">
        <v>7324</v>
      </c>
      <c r="G269" s="4">
        <v>9.4E-2</v>
      </c>
      <c r="H269" s="4">
        <v>15</v>
      </c>
      <c r="I269" s="4">
        <v>95.8</v>
      </c>
      <c r="J269" s="4">
        <v>0.5</v>
      </c>
      <c r="K269" s="4">
        <v>0</v>
      </c>
      <c r="L269" s="4">
        <v>3.5</v>
      </c>
      <c r="M269" s="4">
        <v>708985.19</v>
      </c>
      <c r="N269" s="4">
        <v>125368.16</v>
      </c>
    </row>
    <row r="270" spans="1:14" x14ac:dyDescent="0.35">
      <c r="A270" s="4" t="s">
        <v>90</v>
      </c>
      <c r="B270" s="5">
        <v>45689</v>
      </c>
      <c r="C270" s="4" t="s">
        <v>17</v>
      </c>
      <c r="D270" s="4" t="s">
        <v>20</v>
      </c>
      <c r="E270" s="4">
        <v>73454.539999999994</v>
      </c>
      <c r="F270" s="4">
        <v>8129</v>
      </c>
      <c r="G270" s="4">
        <v>0.21099999999999999</v>
      </c>
      <c r="H270" s="4">
        <v>20</v>
      </c>
      <c r="I270" s="4">
        <v>85.2</v>
      </c>
      <c r="J270" s="4">
        <v>0.88</v>
      </c>
      <c r="K270" s="4">
        <v>0</v>
      </c>
      <c r="L270" s="4">
        <v>3.7</v>
      </c>
      <c r="M270" s="4">
        <v>767792.94</v>
      </c>
      <c r="N270" s="4">
        <v>96235.77</v>
      </c>
    </row>
    <row r="271" spans="1:14" x14ac:dyDescent="0.35">
      <c r="A271" s="4" t="s">
        <v>90</v>
      </c>
      <c r="B271" s="5">
        <v>45717</v>
      </c>
      <c r="C271" s="4" t="s">
        <v>17</v>
      </c>
      <c r="D271" s="4" t="s">
        <v>20</v>
      </c>
      <c r="E271" s="4">
        <v>56602.39</v>
      </c>
      <c r="F271" s="4">
        <v>7969</v>
      </c>
      <c r="G271" s="4">
        <v>0.17</v>
      </c>
      <c r="H271" s="4">
        <v>21</v>
      </c>
      <c r="I271" s="4">
        <v>88.3</v>
      </c>
      <c r="J271" s="4">
        <v>2.25</v>
      </c>
      <c r="K271" s="4">
        <v>0</v>
      </c>
      <c r="L271" s="4">
        <v>3.7</v>
      </c>
      <c r="M271" s="4">
        <v>745580.51</v>
      </c>
      <c r="N271" s="4">
        <v>116273.68</v>
      </c>
    </row>
    <row r="272" spans="1:14" x14ac:dyDescent="0.35">
      <c r="A272" s="4" t="s">
        <v>90</v>
      </c>
      <c r="B272" s="5">
        <v>45748</v>
      </c>
      <c r="C272" s="4" t="s">
        <v>17</v>
      </c>
      <c r="D272" s="4" t="s">
        <v>20</v>
      </c>
      <c r="E272" s="4">
        <v>67722.289999999994</v>
      </c>
      <c r="F272" s="4">
        <v>7240</v>
      </c>
      <c r="G272" s="4">
        <v>2.5999999999999999E-2</v>
      </c>
      <c r="H272" s="4">
        <v>15</v>
      </c>
      <c r="I272" s="4">
        <v>92.9</v>
      </c>
      <c r="J272" s="4">
        <v>0.28999999999999998</v>
      </c>
      <c r="K272" s="4">
        <v>0</v>
      </c>
      <c r="L272" s="4">
        <v>3.5</v>
      </c>
      <c r="M272" s="4">
        <v>762328.31</v>
      </c>
      <c r="N272" s="4">
        <v>159158.19</v>
      </c>
    </row>
    <row r="273" spans="1:14" x14ac:dyDescent="0.35">
      <c r="A273" s="4" t="s">
        <v>91</v>
      </c>
      <c r="B273" s="5">
        <v>45658</v>
      </c>
      <c r="C273" s="4" t="s">
        <v>17</v>
      </c>
      <c r="D273" s="4" t="s">
        <v>30</v>
      </c>
      <c r="E273" s="4">
        <v>48752.92</v>
      </c>
      <c r="F273" s="4">
        <v>8052</v>
      </c>
      <c r="G273" s="4">
        <v>0.106</v>
      </c>
      <c r="H273" s="4">
        <v>16</v>
      </c>
      <c r="I273" s="4">
        <v>94.9</v>
      </c>
      <c r="J273" s="4">
        <v>0.65</v>
      </c>
      <c r="K273" s="4">
        <v>0</v>
      </c>
      <c r="L273" s="4">
        <v>3.6</v>
      </c>
      <c r="M273" s="4">
        <v>660633.99</v>
      </c>
      <c r="N273" s="4">
        <v>118768.66</v>
      </c>
    </row>
    <row r="274" spans="1:14" x14ac:dyDescent="0.35">
      <c r="A274" s="4" t="s">
        <v>91</v>
      </c>
      <c r="B274" s="5">
        <v>45689</v>
      </c>
      <c r="C274" s="4" t="s">
        <v>17</v>
      </c>
      <c r="D274" s="4" t="s">
        <v>30</v>
      </c>
      <c r="E274" s="4">
        <v>23914.97</v>
      </c>
      <c r="F274" s="4">
        <v>8018</v>
      </c>
      <c r="G274" s="4">
        <v>0.13900000000000001</v>
      </c>
      <c r="H274" s="4">
        <v>20</v>
      </c>
      <c r="I274" s="4">
        <v>89</v>
      </c>
      <c r="J274" s="4">
        <v>0.2</v>
      </c>
      <c r="K274" s="4">
        <v>0</v>
      </c>
      <c r="L274" s="4">
        <v>3.5</v>
      </c>
      <c r="M274" s="4">
        <v>739374.56</v>
      </c>
      <c r="N274" s="4">
        <v>121032.29</v>
      </c>
    </row>
    <row r="275" spans="1:14" x14ac:dyDescent="0.35">
      <c r="A275" s="4" t="s">
        <v>91</v>
      </c>
      <c r="B275" s="5">
        <v>45717</v>
      </c>
      <c r="C275" s="4" t="s">
        <v>17</v>
      </c>
      <c r="D275" s="4" t="s">
        <v>30</v>
      </c>
      <c r="E275" s="4">
        <v>61995.3</v>
      </c>
      <c r="F275" s="4">
        <v>10192</v>
      </c>
      <c r="G275" s="4">
        <v>0.19800000000000001</v>
      </c>
      <c r="H275" s="4">
        <v>21</v>
      </c>
      <c r="I275" s="4">
        <v>87.6</v>
      </c>
      <c r="J275" s="4">
        <v>3.63</v>
      </c>
      <c r="K275" s="4">
        <v>1</v>
      </c>
      <c r="L275" s="4">
        <v>3.8</v>
      </c>
      <c r="M275" s="4">
        <v>799756.46</v>
      </c>
      <c r="N275" s="4">
        <v>105052.93</v>
      </c>
    </row>
    <row r="276" spans="1:14" x14ac:dyDescent="0.35">
      <c r="A276" s="4" t="s">
        <v>91</v>
      </c>
      <c r="B276" s="5">
        <v>45748</v>
      </c>
      <c r="C276" s="4" t="s">
        <v>17</v>
      </c>
      <c r="D276" s="4" t="s">
        <v>30</v>
      </c>
      <c r="E276" s="4">
        <v>29344.93</v>
      </c>
      <c r="F276" s="4">
        <v>7446</v>
      </c>
      <c r="G276" s="4">
        <v>0.111</v>
      </c>
      <c r="H276" s="4">
        <v>15</v>
      </c>
      <c r="I276" s="4">
        <v>86.2</v>
      </c>
      <c r="J276" s="4">
        <v>0.2</v>
      </c>
      <c r="K276" s="4">
        <v>0</v>
      </c>
      <c r="L276" s="4">
        <v>3.2</v>
      </c>
      <c r="M276" s="4">
        <v>593343</v>
      </c>
      <c r="N276" s="4">
        <v>82832.240000000005</v>
      </c>
    </row>
    <row r="277" spans="1:14" x14ac:dyDescent="0.35">
      <c r="A277" s="4" t="s">
        <v>92</v>
      </c>
      <c r="B277" s="5">
        <v>45658</v>
      </c>
      <c r="C277" s="4" t="s">
        <v>29</v>
      </c>
      <c r="D277" s="4" t="s">
        <v>20</v>
      </c>
      <c r="E277" s="4">
        <v>50532.17</v>
      </c>
      <c r="F277" s="4">
        <v>5689</v>
      </c>
      <c r="G277" s="4">
        <v>5.1999999999999998E-2</v>
      </c>
      <c r="H277" s="4">
        <v>17</v>
      </c>
      <c r="I277" s="4">
        <v>85.6</v>
      </c>
      <c r="J277" s="4">
        <v>6.23</v>
      </c>
      <c r="K277" s="4">
        <v>0</v>
      </c>
      <c r="L277" s="4">
        <v>3.3</v>
      </c>
      <c r="M277" s="4">
        <v>645039.97</v>
      </c>
      <c r="N277" s="4">
        <v>83093.33</v>
      </c>
    </row>
    <row r="278" spans="1:14" x14ac:dyDescent="0.35">
      <c r="A278" s="4" t="s">
        <v>92</v>
      </c>
      <c r="B278" s="5">
        <v>45689</v>
      </c>
      <c r="C278" s="4" t="s">
        <v>29</v>
      </c>
      <c r="D278" s="4" t="s">
        <v>20</v>
      </c>
      <c r="E278" s="4">
        <v>17562.57</v>
      </c>
      <c r="F278" s="4">
        <v>3326</v>
      </c>
      <c r="G278" s="4">
        <v>0.153</v>
      </c>
      <c r="H278" s="4">
        <v>14</v>
      </c>
      <c r="I278" s="4">
        <v>88.1</v>
      </c>
      <c r="J278" s="4">
        <v>1.04</v>
      </c>
      <c r="K278" s="4">
        <v>0</v>
      </c>
      <c r="L278" s="4">
        <v>3.1</v>
      </c>
      <c r="M278" s="4">
        <v>561597.32999999996</v>
      </c>
      <c r="N278" s="4">
        <v>75072.75</v>
      </c>
    </row>
    <row r="279" spans="1:14" x14ac:dyDescent="0.35">
      <c r="A279" s="4" t="s">
        <v>92</v>
      </c>
      <c r="B279" s="5">
        <v>45717</v>
      </c>
      <c r="C279" s="4" t="s">
        <v>29</v>
      </c>
      <c r="D279" s="4" t="s">
        <v>20</v>
      </c>
      <c r="E279" s="4">
        <v>47648.71</v>
      </c>
      <c r="F279" s="4">
        <v>5767</v>
      </c>
      <c r="G279" s="4">
        <v>0.14099999999999999</v>
      </c>
      <c r="H279" s="4">
        <v>17</v>
      </c>
      <c r="I279" s="4">
        <v>89.8</v>
      </c>
      <c r="J279" s="4">
        <v>1.76</v>
      </c>
      <c r="K279" s="4">
        <v>0</v>
      </c>
      <c r="L279" s="4">
        <v>3.1</v>
      </c>
      <c r="M279" s="4">
        <v>635837.74</v>
      </c>
      <c r="N279" s="4">
        <v>114740.64</v>
      </c>
    </row>
    <row r="280" spans="1:14" x14ac:dyDescent="0.35">
      <c r="A280" s="4" t="s">
        <v>92</v>
      </c>
      <c r="B280" s="5">
        <v>45748</v>
      </c>
      <c r="C280" s="4" t="s">
        <v>29</v>
      </c>
      <c r="D280" s="4" t="s">
        <v>20</v>
      </c>
      <c r="E280" s="4">
        <v>38297.58</v>
      </c>
      <c r="F280" s="4">
        <v>5893</v>
      </c>
      <c r="G280" s="4">
        <v>0.247</v>
      </c>
      <c r="H280" s="4">
        <v>18</v>
      </c>
      <c r="I280" s="4">
        <v>77.599999999999994</v>
      </c>
      <c r="J280" s="4">
        <v>2.86</v>
      </c>
      <c r="K280" s="4">
        <v>0</v>
      </c>
      <c r="L280" s="4">
        <v>3</v>
      </c>
      <c r="M280" s="4">
        <v>686737.87</v>
      </c>
      <c r="N280" s="4">
        <v>83839.67</v>
      </c>
    </row>
    <row r="281" spans="1:14" x14ac:dyDescent="0.35">
      <c r="A281" s="4" t="s">
        <v>93</v>
      </c>
      <c r="B281" s="5">
        <v>45658</v>
      </c>
      <c r="C281" s="4" t="s">
        <v>26</v>
      </c>
      <c r="D281" s="4" t="s">
        <v>18</v>
      </c>
      <c r="E281" s="4">
        <v>61784.11</v>
      </c>
      <c r="F281" s="4">
        <v>8564</v>
      </c>
      <c r="G281" s="4">
        <v>0.13</v>
      </c>
      <c r="H281" s="4">
        <v>17</v>
      </c>
      <c r="I281" s="4">
        <v>87.4</v>
      </c>
      <c r="J281" s="4">
        <v>18.14</v>
      </c>
      <c r="K281" s="4">
        <v>1</v>
      </c>
      <c r="L281" s="4">
        <v>3.4</v>
      </c>
      <c r="M281" s="4">
        <v>673076.34</v>
      </c>
      <c r="N281" s="4">
        <v>93899.76</v>
      </c>
    </row>
    <row r="282" spans="1:14" x14ac:dyDescent="0.35">
      <c r="A282" s="4" t="s">
        <v>93</v>
      </c>
      <c r="B282" s="5">
        <v>45689</v>
      </c>
      <c r="C282" s="4" t="s">
        <v>26</v>
      </c>
      <c r="D282" s="4" t="s">
        <v>18</v>
      </c>
      <c r="E282" s="4">
        <v>36832.33</v>
      </c>
      <c r="F282" s="4">
        <v>8001</v>
      </c>
      <c r="G282" s="4">
        <v>0</v>
      </c>
      <c r="H282" s="4">
        <v>19</v>
      </c>
      <c r="I282" s="4">
        <v>88.7</v>
      </c>
      <c r="J282" s="4">
        <v>3.39</v>
      </c>
      <c r="K282" s="4">
        <v>0</v>
      </c>
      <c r="L282" s="4">
        <v>4</v>
      </c>
      <c r="M282" s="4">
        <v>738548.42</v>
      </c>
      <c r="N282" s="4">
        <v>134282.76999999999</v>
      </c>
    </row>
    <row r="283" spans="1:14" x14ac:dyDescent="0.35">
      <c r="A283" s="4" t="s">
        <v>93</v>
      </c>
      <c r="B283" s="5">
        <v>45717</v>
      </c>
      <c r="C283" s="4" t="s">
        <v>26</v>
      </c>
      <c r="D283" s="4" t="s">
        <v>18</v>
      </c>
      <c r="E283" s="4">
        <v>48609.41</v>
      </c>
      <c r="F283" s="4">
        <v>9324</v>
      </c>
      <c r="G283" s="4">
        <v>0.21299999999999999</v>
      </c>
      <c r="H283" s="4">
        <v>18</v>
      </c>
      <c r="I283" s="4">
        <v>86.5</v>
      </c>
      <c r="J283" s="4">
        <v>1.44</v>
      </c>
      <c r="K283" s="4">
        <v>0</v>
      </c>
      <c r="L283" s="4">
        <v>3.9</v>
      </c>
      <c r="M283" s="4">
        <v>756619.77</v>
      </c>
      <c r="N283" s="4">
        <v>112057.69</v>
      </c>
    </row>
    <row r="284" spans="1:14" x14ac:dyDescent="0.35">
      <c r="A284" s="4" t="s">
        <v>93</v>
      </c>
      <c r="B284" s="5">
        <v>45748</v>
      </c>
      <c r="C284" s="4" t="s">
        <v>26</v>
      </c>
      <c r="D284" s="4" t="s">
        <v>18</v>
      </c>
      <c r="E284" s="4">
        <v>70284.06</v>
      </c>
      <c r="F284" s="4">
        <v>9109</v>
      </c>
      <c r="G284" s="4">
        <v>4.0000000000000001E-3</v>
      </c>
      <c r="H284" s="4">
        <v>23</v>
      </c>
      <c r="I284" s="4">
        <v>87</v>
      </c>
      <c r="J284" s="4">
        <v>3.65</v>
      </c>
      <c r="K284" s="4">
        <v>0</v>
      </c>
      <c r="L284" s="4">
        <v>3.7</v>
      </c>
      <c r="M284" s="4">
        <v>761122.42</v>
      </c>
      <c r="N284" s="4">
        <v>149802.04</v>
      </c>
    </row>
    <row r="285" spans="1:14" x14ac:dyDescent="0.35">
      <c r="A285" s="4" t="s">
        <v>94</v>
      </c>
      <c r="B285" s="5">
        <v>45658</v>
      </c>
      <c r="C285" s="4" t="s">
        <v>26</v>
      </c>
      <c r="D285" s="4" t="s">
        <v>20</v>
      </c>
      <c r="E285" s="4">
        <v>45940.39</v>
      </c>
      <c r="F285" s="4">
        <v>4022</v>
      </c>
      <c r="G285" s="4">
        <v>6.9000000000000006E-2</v>
      </c>
      <c r="H285" s="4">
        <v>10</v>
      </c>
      <c r="I285" s="4">
        <v>83</v>
      </c>
      <c r="J285" s="4">
        <v>1.23</v>
      </c>
      <c r="K285" s="4">
        <v>1</v>
      </c>
      <c r="L285" s="4">
        <v>3.8</v>
      </c>
      <c r="M285" s="4">
        <v>524899.56999999995</v>
      </c>
      <c r="N285" s="4">
        <v>63619.98</v>
      </c>
    </row>
    <row r="286" spans="1:14" x14ac:dyDescent="0.35">
      <c r="A286" s="4" t="s">
        <v>94</v>
      </c>
      <c r="B286" s="5">
        <v>45689</v>
      </c>
      <c r="C286" s="4" t="s">
        <v>26</v>
      </c>
      <c r="D286" s="4" t="s">
        <v>20</v>
      </c>
      <c r="E286" s="4">
        <v>34771.26</v>
      </c>
      <c r="F286" s="4">
        <v>4355</v>
      </c>
      <c r="G286" s="4">
        <v>5.0999999999999997E-2</v>
      </c>
      <c r="H286" s="4">
        <v>15</v>
      </c>
      <c r="I286" s="4">
        <v>87.9</v>
      </c>
      <c r="J286" s="4">
        <v>3.09</v>
      </c>
      <c r="K286" s="4">
        <v>0</v>
      </c>
      <c r="L286" s="4">
        <v>4</v>
      </c>
      <c r="M286" s="4">
        <v>555557.77</v>
      </c>
      <c r="N286" s="4">
        <v>86475.51</v>
      </c>
    </row>
    <row r="287" spans="1:14" x14ac:dyDescent="0.35">
      <c r="A287" s="4" t="s">
        <v>94</v>
      </c>
      <c r="B287" s="5">
        <v>45717</v>
      </c>
      <c r="C287" s="4" t="s">
        <v>26</v>
      </c>
      <c r="D287" s="4" t="s">
        <v>20</v>
      </c>
      <c r="E287" s="4">
        <v>66104.19</v>
      </c>
      <c r="F287" s="4">
        <v>5745</v>
      </c>
      <c r="G287" s="4">
        <v>7.0000000000000007E-2</v>
      </c>
      <c r="H287" s="4">
        <v>17</v>
      </c>
      <c r="I287" s="4">
        <v>95.8</v>
      </c>
      <c r="J287" s="4">
        <v>3.15</v>
      </c>
      <c r="K287" s="4">
        <v>0</v>
      </c>
      <c r="L287" s="4">
        <v>4</v>
      </c>
      <c r="M287" s="4">
        <v>714083.68</v>
      </c>
      <c r="N287" s="4">
        <v>127231.74</v>
      </c>
    </row>
    <row r="288" spans="1:14" x14ac:dyDescent="0.35">
      <c r="A288" s="4" t="s">
        <v>94</v>
      </c>
      <c r="B288" s="5">
        <v>45748</v>
      </c>
      <c r="C288" s="4" t="s">
        <v>26</v>
      </c>
      <c r="D288" s="4" t="s">
        <v>20</v>
      </c>
      <c r="E288" s="4">
        <v>18599.21</v>
      </c>
      <c r="F288" s="4">
        <v>3027</v>
      </c>
      <c r="G288" s="4">
        <v>0.122</v>
      </c>
      <c r="H288" s="4">
        <v>11</v>
      </c>
      <c r="I288" s="4">
        <v>80.900000000000006</v>
      </c>
      <c r="J288" s="4">
        <v>6.44</v>
      </c>
      <c r="K288" s="4">
        <v>0</v>
      </c>
      <c r="L288" s="4">
        <v>4.2</v>
      </c>
      <c r="M288" s="4">
        <v>497439.82</v>
      </c>
      <c r="N288" s="4">
        <v>93372.75</v>
      </c>
    </row>
    <row r="289" spans="1:14" x14ac:dyDescent="0.35">
      <c r="A289" s="4" t="s">
        <v>95</v>
      </c>
      <c r="B289" s="5">
        <v>45658</v>
      </c>
      <c r="C289" s="4" t="s">
        <v>29</v>
      </c>
      <c r="D289" s="4" t="s">
        <v>18</v>
      </c>
      <c r="E289" s="4">
        <v>60183.06</v>
      </c>
      <c r="F289" s="4">
        <v>5562</v>
      </c>
      <c r="G289" s="4">
        <v>8.9999999999999993E-3</v>
      </c>
      <c r="H289" s="4">
        <v>13</v>
      </c>
      <c r="I289" s="4">
        <v>86.3</v>
      </c>
      <c r="J289" s="4">
        <v>0.2</v>
      </c>
      <c r="K289" s="4">
        <v>1</v>
      </c>
      <c r="L289" s="4">
        <v>4.5</v>
      </c>
      <c r="M289" s="4">
        <v>636775.66</v>
      </c>
      <c r="N289" s="4">
        <v>122636.86</v>
      </c>
    </row>
    <row r="290" spans="1:14" x14ac:dyDescent="0.35">
      <c r="A290" s="4" t="s">
        <v>95</v>
      </c>
      <c r="B290" s="5">
        <v>45689</v>
      </c>
      <c r="C290" s="4" t="s">
        <v>29</v>
      </c>
      <c r="D290" s="4" t="s">
        <v>18</v>
      </c>
      <c r="E290" s="4">
        <v>74539.14</v>
      </c>
      <c r="F290" s="4">
        <v>4487</v>
      </c>
      <c r="G290" s="4">
        <v>0.14000000000000001</v>
      </c>
      <c r="H290" s="4">
        <v>10</v>
      </c>
      <c r="I290" s="4">
        <v>90.4</v>
      </c>
      <c r="J290" s="4">
        <v>0.59</v>
      </c>
      <c r="K290" s="4">
        <v>0</v>
      </c>
      <c r="L290" s="4">
        <v>4.5</v>
      </c>
      <c r="M290" s="4">
        <v>633009.53</v>
      </c>
      <c r="N290" s="4">
        <v>123782.67</v>
      </c>
    </row>
    <row r="291" spans="1:14" x14ac:dyDescent="0.35">
      <c r="A291" s="4" t="s">
        <v>95</v>
      </c>
      <c r="B291" s="5">
        <v>45717</v>
      </c>
      <c r="C291" s="4" t="s">
        <v>29</v>
      </c>
      <c r="D291" s="4" t="s">
        <v>18</v>
      </c>
      <c r="E291" s="4">
        <v>55371.97</v>
      </c>
      <c r="F291" s="4">
        <v>4162</v>
      </c>
      <c r="G291" s="4">
        <v>0.183</v>
      </c>
      <c r="H291" s="4">
        <v>11</v>
      </c>
      <c r="I291" s="4">
        <v>92</v>
      </c>
      <c r="J291" s="4">
        <v>0.2</v>
      </c>
      <c r="K291" s="4">
        <v>1</v>
      </c>
      <c r="L291" s="4">
        <v>4.2</v>
      </c>
      <c r="M291" s="4">
        <v>609949</v>
      </c>
      <c r="N291" s="4">
        <v>126789.25</v>
      </c>
    </row>
    <row r="292" spans="1:14" x14ac:dyDescent="0.35">
      <c r="A292" s="4" t="s">
        <v>95</v>
      </c>
      <c r="B292" s="5">
        <v>45748</v>
      </c>
      <c r="C292" s="4" t="s">
        <v>29</v>
      </c>
      <c r="D292" s="4" t="s">
        <v>18</v>
      </c>
      <c r="E292" s="4">
        <v>40928.69</v>
      </c>
      <c r="F292" s="4">
        <v>4094</v>
      </c>
      <c r="G292" s="4">
        <v>0.17399999999999999</v>
      </c>
      <c r="H292" s="4">
        <v>13</v>
      </c>
      <c r="I292" s="4">
        <v>82.4</v>
      </c>
      <c r="J292" s="4">
        <v>1.36</v>
      </c>
      <c r="K292" s="4">
        <v>0</v>
      </c>
      <c r="L292" s="4">
        <v>4.8</v>
      </c>
      <c r="M292" s="4">
        <v>548103.69999999995</v>
      </c>
      <c r="N292" s="4">
        <v>99905.52</v>
      </c>
    </row>
    <row r="293" spans="1:14" x14ac:dyDescent="0.35">
      <c r="A293" s="4" t="s">
        <v>96</v>
      </c>
      <c r="B293" s="5">
        <v>45658</v>
      </c>
      <c r="C293" s="4" t="s">
        <v>17</v>
      </c>
      <c r="D293" s="4" t="s">
        <v>18</v>
      </c>
      <c r="E293" s="4">
        <v>70012.41</v>
      </c>
      <c r="F293" s="4">
        <v>8484</v>
      </c>
      <c r="G293" s="4">
        <v>0.27300000000000002</v>
      </c>
      <c r="H293" s="4">
        <v>23</v>
      </c>
      <c r="I293" s="4">
        <v>72.900000000000006</v>
      </c>
      <c r="J293" s="4">
        <v>3.34</v>
      </c>
      <c r="K293" s="4">
        <v>0</v>
      </c>
      <c r="L293" s="4">
        <v>3.7</v>
      </c>
      <c r="M293" s="4">
        <v>729424.42</v>
      </c>
      <c r="N293" s="4">
        <v>75592.28</v>
      </c>
    </row>
    <row r="294" spans="1:14" x14ac:dyDescent="0.35">
      <c r="A294" s="4" t="s">
        <v>96</v>
      </c>
      <c r="B294" s="5">
        <v>45689</v>
      </c>
      <c r="C294" s="4" t="s">
        <v>17</v>
      </c>
      <c r="D294" s="4" t="s">
        <v>18</v>
      </c>
      <c r="E294" s="4">
        <v>68909.259999999995</v>
      </c>
      <c r="F294" s="4">
        <v>7794</v>
      </c>
      <c r="G294" s="4">
        <v>0.28399999999999997</v>
      </c>
      <c r="H294" s="4">
        <v>22</v>
      </c>
      <c r="I294" s="4">
        <v>89</v>
      </c>
      <c r="J294" s="4">
        <v>0.33</v>
      </c>
      <c r="K294" s="4">
        <v>0</v>
      </c>
      <c r="L294" s="4">
        <v>4</v>
      </c>
      <c r="M294" s="4">
        <v>696261.49</v>
      </c>
      <c r="N294" s="4">
        <v>72455.350000000006</v>
      </c>
    </row>
    <row r="295" spans="1:14" x14ac:dyDescent="0.35">
      <c r="A295" s="4" t="s">
        <v>96</v>
      </c>
      <c r="B295" s="5">
        <v>45717</v>
      </c>
      <c r="C295" s="4" t="s">
        <v>17</v>
      </c>
      <c r="D295" s="4" t="s">
        <v>18</v>
      </c>
      <c r="E295" s="4">
        <v>56737.3</v>
      </c>
      <c r="F295" s="4">
        <v>8300</v>
      </c>
      <c r="G295" s="4">
        <v>3.2000000000000001E-2</v>
      </c>
      <c r="H295" s="4">
        <v>21</v>
      </c>
      <c r="I295" s="4">
        <v>83.2</v>
      </c>
      <c r="J295" s="4">
        <v>3.44</v>
      </c>
      <c r="K295" s="4">
        <v>1</v>
      </c>
      <c r="L295" s="4">
        <v>4.3</v>
      </c>
      <c r="M295" s="4">
        <v>813316.71</v>
      </c>
      <c r="N295" s="4">
        <v>110077.42</v>
      </c>
    </row>
    <row r="296" spans="1:14" x14ac:dyDescent="0.35">
      <c r="A296" s="4" t="s">
        <v>96</v>
      </c>
      <c r="B296" s="5">
        <v>45748</v>
      </c>
      <c r="C296" s="4" t="s">
        <v>17</v>
      </c>
      <c r="D296" s="4" t="s">
        <v>18</v>
      </c>
      <c r="E296" s="4">
        <v>54080.91</v>
      </c>
      <c r="F296" s="4">
        <v>7083</v>
      </c>
      <c r="G296" s="4">
        <v>0</v>
      </c>
      <c r="H296" s="4">
        <v>15</v>
      </c>
      <c r="I296" s="4">
        <v>97</v>
      </c>
      <c r="J296" s="4">
        <v>5.33</v>
      </c>
      <c r="K296" s="4">
        <v>0</v>
      </c>
      <c r="L296" s="4">
        <v>4.0999999999999996</v>
      </c>
      <c r="M296" s="4">
        <v>702068.92</v>
      </c>
      <c r="N296" s="4">
        <v>111266.63</v>
      </c>
    </row>
    <row r="297" spans="1:14" x14ac:dyDescent="0.35">
      <c r="A297" s="4" t="s">
        <v>97</v>
      </c>
      <c r="B297" s="5">
        <v>45658</v>
      </c>
      <c r="C297" s="4" t="s">
        <v>29</v>
      </c>
      <c r="D297" s="4" t="s">
        <v>20</v>
      </c>
      <c r="E297" s="4">
        <v>51996.32</v>
      </c>
      <c r="F297" s="4">
        <v>3834</v>
      </c>
      <c r="G297" s="4">
        <v>9.6000000000000002E-2</v>
      </c>
      <c r="H297" s="4">
        <v>8</v>
      </c>
      <c r="I297" s="4">
        <v>86.7</v>
      </c>
      <c r="J297" s="4">
        <v>6.04</v>
      </c>
      <c r="K297" s="4">
        <v>0</v>
      </c>
      <c r="L297" s="4">
        <v>4.5</v>
      </c>
      <c r="M297" s="4">
        <v>546223.69999999995</v>
      </c>
      <c r="N297" s="4">
        <v>100769.17</v>
      </c>
    </row>
    <row r="298" spans="1:14" x14ac:dyDescent="0.35">
      <c r="A298" s="4" t="s">
        <v>97</v>
      </c>
      <c r="B298" s="5">
        <v>45689</v>
      </c>
      <c r="C298" s="4" t="s">
        <v>29</v>
      </c>
      <c r="D298" s="4" t="s">
        <v>20</v>
      </c>
      <c r="E298" s="4">
        <v>40102.879999999997</v>
      </c>
      <c r="F298" s="4">
        <v>2358</v>
      </c>
      <c r="G298" s="4">
        <v>0.11899999999999999</v>
      </c>
      <c r="H298" s="4">
        <v>9</v>
      </c>
      <c r="I298" s="4">
        <v>88.7</v>
      </c>
      <c r="J298" s="4">
        <v>1.6</v>
      </c>
      <c r="K298" s="4">
        <v>0</v>
      </c>
      <c r="L298" s="4">
        <v>4.2</v>
      </c>
      <c r="M298" s="4">
        <v>533121.26</v>
      </c>
      <c r="N298" s="4">
        <v>55063.39</v>
      </c>
    </row>
    <row r="299" spans="1:14" x14ac:dyDescent="0.35">
      <c r="A299" s="4" t="s">
        <v>97</v>
      </c>
      <c r="B299" s="5">
        <v>45717</v>
      </c>
      <c r="C299" s="4" t="s">
        <v>29</v>
      </c>
      <c r="D299" s="4" t="s">
        <v>20</v>
      </c>
      <c r="E299" s="4">
        <v>59825.51</v>
      </c>
      <c r="F299" s="4">
        <v>1231</v>
      </c>
      <c r="G299" s="4">
        <v>0.214</v>
      </c>
      <c r="H299" s="4">
        <v>10</v>
      </c>
      <c r="I299" s="4">
        <v>84.8</v>
      </c>
      <c r="J299" s="4">
        <v>8.9600000000000009</v>
      </c>
      <c r="K299" s="4">
        <v>0</v>
      </c>
      <c r="L299" s="4">
        <v>4.7</v>
      </c>
      <c r="M299" s="4">
        <v>498970.32</v>
      </c>
      <c r="N299" s="4">
        <v>69656.7</v>
      </c>
    </row>
    <row r="300" spans="1:14" x14ac:dyDescent="0.35">
      <c r="A300" s="4" t="s">
        <v>97</v>
      </c>
      <c r="B300" s="5">
        <v>45748</v>
      </c>
      <c r="C300" s="4" t="s">
        <v>29</v>
      </c>
      <c r="D300" s="4" t="s">
        <v>20</v>
      </c>
      <c r="E300" s="4">
        <v>27398.28</v>
      </c>
      <c r="F300" s="4">
        <v>1723</v>
      </c>
      <c r="G300" s="4">
        <v>0.17100000000000001</v>
      </c>
      <c r="H300" s="4">
        <v>9</v>
      </c>
      <c r="I300" s="4">
        <v>81</v>
      </c>
      <c r="J300" s="4">
        <v>0.74</v>
      </c>
      <c r="K300" s="4">
        <v>0</v>
      </c>
      <c r="L300" s="4">
        <v>4.5999999999999996</v>
      </c>
      <c r="M300" s="4">
        <v>487738.26</v>
      </c>
      <c r="N300" s="4">
        <v>96435.6</v>
      </c>
    </row>
    <row r="301" spans="1:14" x14ac:dyDescent="0.35">
      <c r="A301" s="4" t="s">
        <v>98</v>
      </c>
      <c r="B301" s="5">
        <v>45658</v>
      </c>
      <c r="C301" s="4" t="s">
        <v>29</v>
      </c>
      <c r="D301" s="4" t="s">
        <v>20</v>
      </c>
      <c r="E301" s="4">
        <v>55599.56</v>
      </c>
      <c r="F301" s="4">
        <v>5896</v>
      </c>
      <c r="G301" s="4">
        <v>3.5999999999999997E-2</v>
      </c>
      <c r="H301" s="4">
        <v>12</v>
      </c>
      <c r="I301" s="4">
        <v>93.1</v>
      </c>
      <c r="J301" s="4">
        <v>6.13</v>
      </c>
      <c r="K301" s="4">
        <v>0</v>
      </c>
      <c r="L301" s="4">
        <v>3.3</v>
      </c>
      <c r="M301" s="4">
        <v>668459.37</v>
      </c>
      <c r="N301" s="4">
        <v>126435.42</v>
      </c>
    </row>
    <row r="302" spans="1:14" x14ac:dyDescent="0.35">
      <c r="A302" s="4" t="s">
        <v>98</v>
      </c>
      <c r="B302" s="5">
        <v>45689</v>
      </c>
      <c r="C302" s="4" t="s">
        <v>29</v>
      </c>
      <c r="D302" s="4" t="s">
        <v>20</v>
      </c>
      <c r="E302" s="4">
        <v>55477.61</v>
      </c>
      <c r="F302" s="4">
        <v>5903</v>
      </c>
      <c r="G302" s="4">
        <v>0.10199999999999999</v>
      </c>
      <c r="H302" s="4">
        <v>14</v>
      </c>
      <c r="I302" s="4">
        <v>96.2</v>
      </c>
      <c r="J302" s="4">
        <v>1.41</v>
      </c>
      <c r="K302" s="4">
        <v>0</v>
      </c>
      <c r="L302" s="4">
        <v>3.3</v>
      </c>
      <c r="M302" s="4">
        <v>763162.45</v>
      </c>
      <c r="N302" s="4">
        <v>162524.04999999999</v>
      </c>
    </row>
    <row r="303" spans="1:14" x14ac:dyDescent="0.35">
      <c r="A303" s="4" t="s">
        <v>98</v>
      </c>
      <c r="B303" s="5">
        <v>45717</v>
      </c>
      <c r="C303" s="4" t="s">
        <v>29</v>
      </c>
      <c r="D303" s="4" t="s">
        <v>20</v>
      </c>
      <c r="E303" s="4">
        <v>46174.7</v>
      </c>
      <c r="F303" s="4">
        <v>4898</v>
      </c>
      <c r="G303" s="4">
        <v>0.114</v>
      </c>
      <c r="H303" s="4">
        <v>11</v>
      </c>
      <c r="I303" s="4">
        <v>91.7</v>
      </c>
      <c r="J303" s="4">
        <v>3.75</v>
      </c>
      <c r="K303" s="4">
        <v>0</v>
      </c>
      <c r="L303" s="4">
        <v>3.1</v>
      </c>
      <c r="M303" s="4">
        <v>599017.32999999996</v>
      </c>
      <c r="N303" s="4">
        <v>134009.92000000001</v>
      </c>
    </row>
    <row r="304" spans="1:14" x14ac:dyDescent="0.35">
      <c r="A304" s="4" t="s">
        <v>98</v>
      </c>
      <c r="B304" s="5">
        <v>45748</v>
      </c>
      <c r="C304" s="4" t="s">
        <v>29</v>
      </c>
      <c r="D304" s="4" t="s">
        <v>20</v>
      </c>
      <c r="E304" s="4">
        <v>24362.98</v>
      </c>
      <c r="F304" s="4">
        <v>1462</v>
      </c>
      <c r="G304" s="4">
        <v>0.11700000000000001</v>
      </c>
      <c r="H304" s="4">
        <v>6</v>
      </c>
      <c r="I304" s="4">
        <v>89.3</v>
      </c>
      <c r="J304" s="4">
        <v>15.06</v>
      </c>
      <c r="K304" s="4">
        <v>0</v>
      </c>
      <c r="L304" s="4">
        <v>3.2</v>
      </c>
      <c r="M304" s="4">
        <v>401582.58</v>
      </c>
      <c r="N304" s="4">
        <v>68454.929999999993</v>
      </c>
    </row>
    <row r="305" spans="1:14" x14ac:dyDescent="0.35">
      <c r="A305" s="4" t="s">
        <v>99</v>
      </c>
      <c r="B305" s="5">
        <v>45658</v>
      </c>
      <c r="C305" s="4" t="s">
        <v>22</v>
      </c>
      <c r="D305" s="4" t="s">
        <v>30</v>
      </c>
      <c r="E305" s="4">
        <v>40647.67</v>
      </c>
      <c r="F305" s="4">
        <v>8252</v>
      </c>
      <c r="G305" s="4">
        <v>0.14099999999999999</v>
      </c>
      <c r="H305" s="4">
        <v>22</v>
      </c>
      <c r="I305" s="4">
        <v>88.2</v>
      </c>
      <c r="J305" s="4">
        <v>5.07</v>
      </c>
      <c r="K305" s="4">
        <v>1</v>
      </c>
      <c r="L305" s="4">
        <v>4.0999999999999996</v>
      </c>
      <c r="M305" s="4">
        <v>703812.99</v>
      </c>
      <c r="N305" s="4">
        <v>133577.98000000001</v>
      </c>
    </row>
    <row r="306" spans="1:14" x14ac:dyDescent="0.35">
      <c r="A306" s="4" t="s">
        <v>99</v>
      </c>
      <c r="B306" s="5">
        <v>45689</v>
      </c>
      <c r="C306" s="4" t="s">
        <v>22</v>
      </c>
      <c r="D306" s="4" t="s">
        <v>30</v>
      </c>
      <c r="E306" s="4">
        <v>63986.98</v>
      </c>
      <c r="F306" s="4">
        <v>7989</v>
      </c>
      <c r="G306" s="4">
        <v>7.3999999999999996E-2</v>
      </c>
      <c r="H306" s="4">
        <v>20</v>
      </c>
      <c r="I306" s="4">
        <v>83.3</v>
      </c>
      <c r="J306" s="4">
        <v>3.6</v>
      </c>
      <c r="K306" s="4">
        <v>0</v>
      </c>
      <c r="L306" s="4">
        <v>3.7</v>
      </c>
      <c r="M306" s="4">
        <v>724346.73</v>
      </c>
      <c r="N306" s="4">
        <v>155013.91</v>
      </c>
    </row>
    <row r="307" spans="1:14" x14ac:dyDescent="0.35">
      <c r="A307" s="4" t="s">
        <v>99</v>
      </c>
      <c r="B307" s="5">
        <v>45717</v>
      </c>
      <c r="C307" s="4" t="s">
        <v>22</v>
      </c>
      <c r="D307" s="4" t="s">
        <v>30</v>
      </c>
      <c r="E307" s="4">
        <v>52843.75</v>
      </c>
      <c r="F307" s="4">
        <v>8268</v>
      </c>
      <c r="G307" s="4">
        <v>0.13800000000000001</v>
      </c>
      <c r="H307" s="4">
        <v>19</v>
      </c>
      <c r="I307" s="4">
        <v>87.3</v>
      </c>
      <c r="J307" s="4">
        <v>4.3899999999999997</v>
      </c>
      <c r="K307" s="4">
        <v>1</v>
      </c>
      <c r="L307" s="4">
        <v>4.7</v>
      </c>
      <c r="M307" s="4">
        <v>730890.01</v>
      </c>
      <c r="N307" s="4">
        <v>105502.56</v>
      </c>
    </row>
    <row r="308" spans="1:14" x14ac:dyDescent="0.35">
      <c r="A308" s="4" t="s">
        <v>99</v>
      </c>
      <c r="B308" s="5">
        <v>45748</v>
      </c>
      <c r="C308" s="4" t="s">
        <v>22</v>
      </c>
      <c r="D308" s="4" t="s">
        <v>30</v>
      </c>
      <c r="E308" s="4">
        <v>31997.25</v>
      </c>
      <c r="F308" s="4">
        <v>8183</v>
      </c>
      <c r="G308" s="4">
        <v>0.19800000000000001</v>
      </c>
      <c r="H308" s="4">
        <v>18</v>
      </c>
      <c r="I308" s="4">
        <v>93</v>
      </c>
      <c r="J308" s="4">
        <v>2.79</v>
      </c>
      <c r="K308" s="4">
        <v>0</v>
      </c>
      <c r="L308" s="4">
        <v>4.2</v>
      </c>
      <c r="M308" s="4">
        <v>780580.95</v>
      </c>
      <c r="N308" s="4">
        <v>138144.46</v>
      </c>
    </row>
    <row r="309" spans="1:14" x14ac:dyDescent="0.35">
      <c r="A309" s="4" t="s">
        <v>100</v>
      </c>
      <c r="B309" s="5">
        <v>45658</v>
      </c>
      <c r="C309" s="4" t="s">
        <v>26</v>
      </c>
      <c r="D309" s="4" t="s">
        <v>18</v>
      </c>
      <c r="E309" s="4">
        <v>54948.02</v>
      </c>
      <c r="F309" s="4">
        <v>6534</v>
      </c>
      <c r="G309" s="4">
        <v>0.183</v>
      </c>
      <c r="H309" s="4">
        <v>14</v>
      </c>
      <c r="I309" s="4">
        <v>94.5</v>
      </c>
      <c r="J309" s="4">
        <v>1.56</v>
      </c>
      <c r="K309" s="4">
        <v>0</v>
      </c>
      <c r="L309" s="4">
        <v>4</v>
      </c>
      <c r="M309" s="4">
        <v>727957.48</v>
      </c>
      <c r="N309" s="4">
        <v>74805.23</v>
      </c>
    </row>
    <row r="310" spans="1:14" x14ac:dyDescent="0.35">
      <c r="A310" s="4" t="s">
        <v>100</v>
      </c>
      <c r="B310" s="5">
        <v>45689</v>
      </c>
      <c r="C310" s="4" t="s">
        <v>26</v>
      </c>
      <c r="D310" s="4" t="s">
        <v>18</v>
      </c>
      <c r="E310" s="4">
        <v>46146.239999999998</v>
      </c>
      <c r="F310" s="4">
        <v>5804</v>
      </c>
      <c r="G310" s="4">
        <v>4.7E-2</v>
      </c>
      <c r="H310" s="4">
        <v>16</v>
      </c>
      <c r="I310" s="4">
        <v>86.9</v>
      </c>
      <c r="J310" s="4">
        <v>15.82</v>
      </c>
      <c r="K310" s="4">
        <v>0</v>
      </c>
      <c r="L310" s="4">
        <v>3.8</v>
      </c>
      <c r="M310" s="4">
        <v>538376</v>
      </c>
      <c r="N310" s="4">
        <v>87605.62</v>
      </c>
    </row>
    <row r="311" spans="1:14" x14ac:dyDescent="0.35">
      <c r="A311" s="4" t="s">
        <v>100</v>
      </c>
      <c r="B311" s="5">
        <v>45717</v>
      </c>
      <c r="C311" s="4" t="s">
        <v>26</v>
      </c>
      <c r="D311" s="4" t="s">
        <v>18</v>
      </c>
      <c r="E311" s="4">
        <v>22387.26</v>
      </c>
      <c r="F311" s="4">
        <v>6301</v>
      </c>
      <c r="G311" s="4">
        <v>0.14599999999999999</v>
      </c>
      <c r="H311" s="4">
        <v>14</v>
      </c>
      <c r="I311" s="4">
        <v>85.9</v>
      </c>
      <c r="J311" s="4">
        <v>1.17</v>
      </c>
      <c r="K311" s="4">
        <v>1</v>
      </c>
      <c r="L311" s="4">
        <v>3.7</v>
      </c>
      <c r="M311" s="4">
        <v>665342.49</v>
      </c>
      <c r="N311" s="4">
        <v>93441.81</v>
      </c>
    </row>
    <row r="312" spans="1:14" x14ac:dyDescent="0.35">
      <c r="A312" s="4" t="s">
        <v>100</v>
      </c>
      <c r="B312" s="5">
        <v>45748</v>
      </c>
      <c r="C312" s="4" t="s">
        <v>26</v>
      </c>
      <c r="D312" s="4" t="s">
        <v>18</v>
      </c>
      <c r="E312" s="4">
        <v>60684.05</v>
      </c>
      <c r="F312" s="4">
        <v>6399</v>
      </c>
      <c r="G312" s="4">
        <v>7.4999999999999997E-2</v>
      </c>
      <c r="H312" s="4">
        <v>16</v>
      </c>
      <c r="I312" s="4">
        <v>99</v>
      </c>
      <c r="J312" s="4">
        <v>3.82</v>
      </c>
      <c r="K312" s="4">
        <v>0</v>
      </c>
      <c r="L312" s="4">
        <v>3.5</v>
      </c>
      <c r="M312" s="4">
        <v>651164.18000000005</v>
      </c>
      <c r="N312" s="4">
        <v>109466.5</v>
      </c>
    </row>
    <row r="313" spans="1:14" x14ac:dyDescent="0.35">
      <c r="A313" s="4" t="s">
        <v>101</v>
      </c>
      <c r="B313" s="5">
        <v>45658</v>
      </c>
      <c r="C313" s="4" t="s">
        <v>26</v>
      </c>
      <c r="D313" s="4" t="s">
        <v>20</v>
      </c>
      <c r="E313" s="4">
        <v>48465.599999999999</v>
      </c>
      <c r="F313" s="4">
        <v>5759</v>
      </c>
      <c r="G313" s="4">
        <v>0.154</v>
      </c>
      <c r="H313" s="4">
        <v>13</v>
      </c>
      <c r="I313" s="4">
        <v>87.5</v>
      </c>
      <c r="J313" s="4">
        <v>4.1399999999999997</v>
      </c>
      <c r="K313" s="4">
        <v>0</v>
      </c>
      <c r="L313" s="4">
        <v>4</v>
      </c>
      <c r="M313" s="4">
        <v>628538.30000000005</v>
      </c>
      <c r="N313" s="4">
        <v>112509.15</v>
      </c>
    </row>
    <row r="314" spans="1:14" x14ac:dyDescent="0.35">
      <c r="A314" s="4" t="s">
        <v>101</v>
      </c>
      <c r="B314" s="5">
        <v>45689</v>
      </c>
      <c r="C314" s="4" t="s">
        <v>26</v>
      </c>
      <c r="D314" s="4" t="s">
        <v>20</v>
      </c>
      <c r="E314" s="4">
        <v>23702.38</v>
      </c>
      <c r="F314" s="4">
        <v>5285</v>
      </c>
      <c r="G314" s="4">
        <v>0.16700000000000001</v>
      </c>
      <c r="H314" s="4">
        <v>14</v>
      </c>
      <c r="I314" s="4">
        <v>79.7</v>
      </c>
      <c r="J314" s="4">
        <v>1.1000000000000001</v>
      </c>
      <c r="K314" s="4">
        <v>0</v>
      </c>
      <c r="L314" s="4">
        <v>4.3</v>
      </c>
      <c r="M314" s="4">
        <v>536524.84</v>
      </c>
      <c r="N314" s="4">
        <v>92752.94</v>
      </c>
    </row>
    <row r="315" spans="1:14" x14ac:dyDescent="0.35">
      <c r="A315" s="4" t="s">
        <v>101</v>
      </c>
      <c r="B315" s="5">
        <v>45717</v>
      </c>
      <c r="C315" s="4" t="s">
        <v>26</v>
      </c>
      <c r="D315" s="4" t="s">
        <v>20</v>
      </c>
      <c r="E315" s="4">
        <v>54322.94</v>
      </c>
      <c r="F315" s="4">
        <v>5434</v>
      </c>
      <c r="G315" s="4">
        <v>0.2</v>
      </c>
      <c r="H315" s="4">
        <v>13</v>
      </c>
      <c r="I315" s="4">
        <v>85.7</v>
      </c>
      <c r="J315" s="4">
        <v>10.6</v>
      </c>
      <c r="K315" s="4">
        <v>0</v>
      </c>
      <c r="L315" s="4">
        <v>4.2</v>
      </c>
      <c r="M315" s="4">
        <v>621677.30000000005</v>
      </c>
      <c r="N315" s="4">
        <v>105192.52</v>
      </c>
    </row>
    <row r="316" spans="1:14" x14ac:dyDescent="0.35">
      <c r="A316" s="4" t="s">
        <v>101</v>
      </c>
      <c r="B316" s="5">
        <v>45748</v>
      </c>
      <c r="C316" s="4" t="s">
        <v>26</v>
      </c>
      <c r="D316" s="4" t="s">
        <v>20</v>
      </c>
      <c r="E316" s="4">
        <v>86026.58</v>
      </c>
      <c r="F316" s="4">
        <v>7479</v>
      </c>
      <c r="G316" s="4">
        <v>0.14199999999999999</v>
      </c>
      <c r="H316" s="4">
        <v>20</v>
      </c>
      <c r="I316" s="4">
        <v>89</v>
      </c>
      <c r="J316" s="4">
        <v>0.9</v>
      </c>
      <c r="K316" s="4">
        <v>0</v>
      </c>
      <c r="L316" s="4"/>
      <c r="M316" s="4">
        <v>771129.07</v>
      </c>
      <c r="N316" s="4">
        <v>116851.13</v>
      </c>
    </row>
    <row r="317" spans="1:14" x14ac:dyDescent="0.35">
      <c r="A317" s="4" t="s">
        <v>102</v>
      </c>
      <c r="B317" s="5">
        <v>45658</v>
      </c>
      <c r="C317" s="4" t="s">
        <v>22</v>
      </c>
      <c r="D317" s="4" t="s">
        <v>18</v>
      </c>
      <c r="E317" s="4">
        <v>78967.520000000004</v>
      </c>
      <c r="F317" s="4">
        <v>6164</v>
      </c>
      <c r="G317" s="4">
        <v>2.1000000000000001E-2</v>
      </c>
      <c r="H317" s="4">
        <v>16</v>
      </c>
      <c r="I317" s="4">
        <v>85.5</v>
      </c>
      <c r="J317" s="4">
        <v>0.2</v>
      </c>
      <c r="K317" s="4">
        <v>0</v>
      </c>
      <c r="L317" s="4">
        <v>3.4</v>
      </c>
      <c r="M317" s="4">
        <v>702052.47</v>
      </c>
      <c r="N317" s="4">
        <v>121732.51</v>
      </c>
    </row>
    <row r="318" spans="1:14" x14ac:dyDescent="0.35">
      <c r="A318" s="4" t="s">
        <v>102</v>
      </c>
      <c r="B318" s="5">
        <v>45689</v>
      </c>
      <c r="C318" s="4" t="s">
        <v>22</v>
      </c>
      <c r="D318" s="4" t="s">
        <v>18</v>
      </c>
      <c r="E318" s="4">
        <v>46767.99</v>
      </c>
      <c r="F318" s="4">
        <v>7973</v>
      </c>
      <c r="G318" s="4">
        <v>0.183</v>
      </c>
      <c r="H318" s="4">
        <v>18</v>
      </c>
      <c r="I318" s="4">
        <v>94.8</v>
      </c>
      <c r="J318" s="4">
        <v>4.67</v>
      </c>
      <c r="K318" s="4">
        <v>0</v>
      </c>
      <c r="L318" s="4"/>
      <c r="M318" s="4">
        <v>688368.46</v>
      </c>
      <c r="N318" s="4">
        <v>93588.42</v>
      </c>
    </row>
    <row r="319" spans="1:14" x14ac:dyDescent="0.35">
      <c r="A319" s="4" t="s">
        <v>102</v>
      </c>
      <c r="B319" s="5">
        <v>45717</v>
      </c>
      <c r="C319" s="4" t="s">
        <v>22</v>
      </c>
      <c r="D319" s="4" t="s">
        <v>18</v>
      </c>
      <c r="E319" s="4">
        <v>62507.16</v>
      </c>
      <c r="F319" s="4">
        <v>6000</v>
      </c>
      <c r="G319" s="4">
        <v>9.0999999999999998E-2</v>
      </c>
      <c r="H319" s="4">
        <v>14</v>
      </c>
      <c r="I319" s="4">
        <v>98.2</v>
      </c>
      <c r="J319" s="4">
        <v>4.38</v>
      </c>
      <c r="K319" s="4">
        <v>1</v>
      </c>
      <c r="L319" s="4">
        <v>3.9</v>
      </c>
      <c r="M319" s="4">
        <v>712375.77</v>
      </c>
      <c r="N319" s="4">
        <v>104171.53</v>
      </c>
    </row>
    <row r="320" spans="1:14" x14ac:dyDescent="0.35">
      <c r="A320" s="4" t="s">
        <v>102</v>
      </c>
      <c r="B320" s="5">
        <v>45748</v>
      </c>
      <c r="C320" s="4" t="s">
        <v>22</v>
      </c>
      <c r="D320" s="4" t="s">
        <v>18</v>
      </c>
      <c r="E320" s="4">
        <v>66456.28</v>
      </c>
      <c r="F320" s="4">
        <v>9967</v>
      </c>
      <c r="G320" s="4">
        <v>0.108</v>
      </c>
      <c r="H320" s="4">
        <v>20</v>
      </c>
      <c r="I320" s="4">
        <v>94.7</v>
      </c>
      <c r="J320" s="4">
        <v>4.4800000000000004</v>
      </c>
      <c r="K320" s="4">
        <v>0</v>
      </c>
      <c r="L320" s="4">
        <v>4.2</v>
      </c>
      <c r="M320" s="4">
        <v>844710.67</v>
      </c>
      <c r="N320" s="4">
        <v>137140.18</v>
      </c>
    </row>
    <row r="321" spans="1:14" x14ac:dyDescent="0.35">
      <c r="A321" s="4" t="s">
        <v>103</v>
      </c>
      <c r="B321" s="5">
        <v>45658</v>
      </c>
      <c r="C321" s="4" t="s">
        <v>17</v>
      </c>
      <c r="D321" s="4" t="s">
        <v>18</v>
      </c>
      <c r="E321" s="4">
        <v>76614.320000000007</v>
      </c>
      <c r="F321" s="4">
        <v>5639</v>
      </c>
      <c r="G321" s="4">
        <v>0.17399999999999999</v>
      </c>
      <c r="H321" s="4">
        <v>15</v>
      </c>
      <c r="I321" s="4">
        <v>92.9</v>
      </c>
      <c r="J321" s="4">
        <v>1.02</v>
      </c>
      <c r="K321" s="4">
        <v>1</v>
      </c>
      <c r="L321" s="4">
        <v>4</v>
      </c>
      <c r="M321" s="4">
        <v>620264.19999999995</v>
      </c>
      <c r="N321" s="4">
        <v>91365.64</v>
      </c>
    </row>
    <row r="322" spans="1:14" x14ac:dyDescent="0.35">
      <c r="A322" s="4" t="s">
        <v>103</v>
      </c>
      <c r="B322" s="5">
        <v>45689</v>
      </c>
      <c r="C322" s="4" t="s">
        <v>17</v>
      </c>
      <c r="D322" s="4" t="s">
        <v>18</v>
      </c>
      <c r="E322" s="4">
        <v>24088.06</v>
      </c>
      <c r="F322" s="4">
        <v>3466</v>
      </c>
      <c r="G322" s="4">
        <v>0</v>
      </c>
      <c r="H322" s="4">
        <v>11</v>
      </c>
      <c r="I322" s="4">
        <v>88</v>
      </c>
      <c r="J322" s="4">
        <v>0.2</v>
      </c>
      <c r="K322" s="4">
        <v>0</v>
      </c>
      <c r="L322" s="4">
        <v>3.8</v>
      </c>
      <c r="M322" s="4">
        <v>536845.42000000004</v>
      </c>
      <c r="N322" s="4">
        <v>107473.75</v>
      </c>
    </row>
    <row r="323" spans="1:14" x14ac:dyDescent="0.35">
      <c r="A323" s="4" t="s">
        <v>103</v>
      </c>
      <c r="B323" s="5">
        <v>45717</v>
      </c>
      <c r="C323" s="4" t="s">
        <v>17</v>
      </c>
      <c r="D323" s="4" t="s">
        <v>18</v>
      </c>
      <c r="E323" s="4">
        <v>81902.58</v>
      </c>
      <c r="F323" s="4">
        <v>7775</v>
      </c>
      <c r="G323" s="4">
        <v>0.215</v>
      </c>
      <c r="H323" s="4">
        <v>20</v>
      </c>
      <c r="I323" s="4">
        <v>85.2</v>
      </c>
      <c r="J323" s="4">
        <v>4.8899999999999997</v>
      </c>
      <c r="K323" s="4">
        <v>1</v>
      </c>
      <c r="L323" s="4">
        <v>4.2</v>
      </c>
      <c r="M323" s="4">
        <v>726776.22</v>
      </c>
      <c r="N323" s="4">
        <v>90804.49</v>
      </c>
    </row>
    <row r="324" spans="1:14" x14ac:dyDescent="0.35">
      <c r="A324" s="4" t="s">
        <v>103</v>
      </c>
      <c r="B324" s="5">
        <v>45748</v>
      </c>
      <c r="C324" s="4" t="s">
        <v>17</v>
      </c>
      <c r="D324" s="4" t="s">
        <v>18</v>
      </c>
      <c r="E324" s="4">
        <v>40553.11</v>
      </c>
      <c r="F324" s="4">
        <v>5317</v>
      </c>
      <c r="G324" s="4">
        <v>0.16500000000000001</v>
      </c>
      <c r="H324" s="4">
        <v>17</v>
      </c>
      <c r="I324" s="4">
        <v>84.3</v>
      </c>
      <c r="J324" s="4">
        <v>11.82</v>
      </c>
      <c r="K324" s="4">
        <v>0</v>
      </c>
      <c r="L324" s="4">
        <v>4.0999999999999996</v>
      </c>
      <c r="M324" s="4">
        <v>559660.84</v>
      </c>
      <c r="N324" s="4">
        <v>71443.61</v>
      </c>
    </row>
  </sheetData>
  <autoFilter ref="A4:N324" xr:uid="{00000000-0009-0000-0000-000000000000}"/>
  <mergeCells count="1"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24"/>
  <sheetViews>
    <sheetView showGridLines="0" zoomScaleNormal="100" workbookViewId="0">
      <pane ySplit="4" topLeftCell="A5" activePane="bottomLeft" state="frozen"/>
      <selection pane="bottomLeft" activeCell="G7" sqref="G7"/>
    </sheetView>
  </sheetViews>
  <sheetFormatPr defaultColWidth="8.6328125" defaultRowHeight="14.5" x14ac:dyDescent="0.35"/>
  <cols>
    <col min="1" max="2" width="11" customWidth="1"/>
    <col min="3" max="3" width="9" customWidth="1"/>
    <col min="4" max="4" width="12" customWidth="1"/>
    <col min="5" max="5" width="15" customWidth="1"/>
    <col min="6" max="6" width="9" customWidth="1"/>
    <col min="7" max="7" width="15" customWidth="1"/>
    <col min="8" max="8" width="11" customWidth="1"/>
    <col min="9" max="9" width="24" customWidth="1"/>
    <col min="10" max="10" width="16" customWidth="1"/>
    <col min="11" max="11" width="18" customWidth="1"/>
    <col min="12" max="12" width="11" customWidth="1"/>
    <col min="13" max="13" width="14" customWidth="1"/>
    <col min="14" max="14" width="16" customWidth="1"/>
    <col min="15" max="16" width="14" customWidth="1"/>
  </cols>
  <sheetData>
    <row r="1" spans="1:16" ht="18" x14ac:dyDescent="0.4">
      <c r="A1" s="1" t="s">
        <v>104</v>
      </c>
    </row>
    <row r="2" spans="1:16" x14ac:dyDescent="0.35">
      <c r="A2" s="2" t="s">
        <v>105</v>
      </c>
    </row>
    <row r="4" spans="1:16" ht="26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106</v>
      </c>
      <c r="L4" s="3" t="s">
        <v>12</v>
      </c>
      <c r="M4" s="3" t="s">
        <v>13</v>
      </c>
      <c r="N4" s="3" t="s">
        <v>107</v>
      </c>
      <c r="O4" s="3" t="s">
        <v>14</v>
      </c>
      <c r="P4" s="3" t="s">
        <v>15</v>
      </c>
    </row>
    <row r="5" spans="1:16" x14ac:dyDescent="0.35">
      <c r="A5" s="4" t="s">
        <v>16</v>
      </c>
      <c r="B5" s="5">
        <v>45658</v>
      </c>
      <c r="C5" s="4" t="s">
        <v>17</v>
      </c>
      <c r="D5" s="4" t="s">
        <v>18</v>
      </c>
      <c r="E5" s="4">
        <v>70389.11</v>
      </c>
      <c r="F5" s="4">
        <v>8302</v>
      </c>
      <c r="G5" s="4">
        <v>4.2000000000000003E-2</v>
      </c>
      <c r="H5" s="4">
        <v>17</v>
      </c>
      <c r="I5" s="4">
        <v>75</v>
      </c>
      <c r="J5" s="4">
        <v>5.28</v>
      </c>
      <c r="K5" s="4" t="s">
        <v>108</v>
      </c>
      <c r="L5" s="4">
        <v>1</v>
      </c>
      <c r="M5" s="4">
        <v>3.1</v>
      </c>
      <c r="N5" s="4" t="s">
        <v>108</v>
      </c>
      <c r="O5" s="4">
        <v>658832.62</v>
      </c>
      <c r="P5" s="4">
        <v>84349.93</v>
      </c>
    </row>
    <row r="6" spans="1:16" x14ac:dyDescent="0.35">
      <c r="A6" s="4" t="s">
        <v>16</v>
      </c>
      <c r="B6" s="5">
        <v>45689</v>
      </c>
      <c r="C6" s="4" t="s">
        <v>17</v>
      </c>
      <c r="D6" s="4" t="s">
        <v>18</v>
      </c>
      <c r="E6" s="4">
        <v>43827.89</v>
      </c>
      <c r="F6" s="4">
        <v>8487</v>
      </c>
      <c r="G6" s="4">
        <v>0.16800000000000001</v>
      </c>
      <c r="H6" s="4">
        <v>23</v>
      </c>
      <c r="I6" s="4">
        <v>84.4</v>
      </c>
      <c r="J6" s="4">
        <v>4.3099999999999996</v>
      </c>
      <c r="K6" s="4" t="s">
        <v>108</v>
      </c>
      <c r="L6" s="4">
        <v>0</v>
      </c>
      <c r="M6" s="4">
        <v>2.8</v>
      </c>
      <c r="N6" s="4" t="s">
        <v>108</v>
      </c>
      <c r="O6" s="4">
        <v>634436</v>
      </c>
      <c r="P6" s="4">
        <v>106130.54</v>
      </c>
    </row>
    <row r="7" spans="1:16" x14ac:dyDescent="0.35">
      <c r="A7" s="4" t="s">
        <v>16</v>
      </c>
      <c r="B7" s="5">
        <v>45717</v>
      </c>
      <c r="C7" s="4" t="s">
        <v>17</v>
      </c>
      <c r="D7" s="4" t="s">
        <v>18</v>
      </c>
      <c r="E7" s="4">
        <v>59921.75</v>
      </c>
      <c r="F7" s="4">
        <v>9113</v>
      </c>
      <c r="G7" s="4">
        <v>0.13300000000000001</v>
      </c>
      <c r="H7" s="4">
        <v>20</v>
      </c>
      <c r="I7" s="4">
        <v>88</v>
      </c>
      <c r="J7" s="4">
        <v>12</v>
      </c>
      <c r="K7" s="4" t="s">
        <v>108</v>
      </c>
      <c r="L7" s="4">
        <v>0</v>
      </c>
      <c r="M7" s="4">
        <v>3.2</v>
      </c>
      <c r="N7" s="4" t="s">
        <v>108</v>
      </c>
      <c r="O7" s="4">
        <v>678722.06</v>
      </c>
      <c r="P7" s="4">
        <v>101883.86</v>
      </c>
    </row>
    <row r="8" spans="1:16" x14ac:dyDescent="0.35">
      <c r="A8" s="4" t="s">
        <v>16</v>
      </c>
      <c r="B8" s="5">
        <v>45748</v>
      </c>
      <c r="C8" s="4" t="s">
        <v>17</v>
      </c>
      <c r="D8" s="4" t="s">
        <v>18</v>
      </c>
      <c r="E8" s="4">
        <v>56856.63</v>
      </c>
      <c r="F8" s="4">
        <v>9431</v>
      </c>
      <c r="G8" s="4">
        <v>0.14199999999999999</v>
      </c>
      <c r="H8" s="4">
        <v>23</v>
      </c>
      <c r="I8" s="4">
        <v>86.9</v>
      </c>
      <c r="J8" s="4">
        <v>4.97</v>
      </c>
      <c r="K8" s="4" t="s">
        <v>108</v>
      </c>
      <c r="L8" s="4">
        <v>0</v>
      </c>
      <c r="M8" s="4">
        <v>3.4</v>
      </c>
      <c r="N8" s="4" t="s">
        <v>108</v>
      </c>
      <c r="O8" s="4">
        <v>658920.30000000005</v>
      </c>
      <c r="P8" s="4">
        <v>97910.37</v>
      </c>
    </row>
    <row r="9" spans="1:16" x14ac:dyDescent="0.35">
      <c r="A9" s="4" t="s">
        <v>19</v>
      </c>
      <c r="B9" s="5">
        <v>45658</v>
      </c>
      <c r="C9" s="4" t="s">
        <v>17</v>
      </c>
      <c r="D9" s="4" t="s">
        <v>20</v>
      </c>
      <c r="E9" s="4">
        <v>48412.639999999999</v>
      </c>
      <c r="F9" s="4">
        <v>9545</v>
      </c>
      <c r="G9" s="4">
        <v>0.23100000000000001</v>
      </c>
      <c r="H9" s="4">
        <v>21</v>
      </c>
      <c r="I9" s="4">
        <v>97.6</v>
      </c>
      <c r="J9" s="4">
        <v>6.94</v>
      </c>
      <c r="K9" s="4" t="s">
        <v>108</v>
      </c>
      <c r="L9" s="4">
        <v>1</v>
      </c>
      <c r="M9" s="4">
        <v>4.2</v>
      </c>
      <c r="N9" s="4" t="s">
        <v>108</v>
      </c>
      <c r="O9" s="4">
        <v>741341.44</v>
      </c>
      <c r="P9" s="4">
        <v>119208.17</v>
      </c>
    </row>
    <row r="10" spans="1:16" x14ac:dyDescent="0.35">
      <c r="A10" s="4" t="s">
        <v>19</v>
      </c>
      <c r="B10" s="5">
        <v>45689</v>
      </c>
      <c r="C10" s="4" t="s">
        <v>17</v>
      </c>
      <c r="D10" s="4" t="s">
        <v>20</v>
      </c>
      <c r="E10" s="4">
        <v>64811.21</v>
      </c>
      <c r="F10" s="4">
        <v>9792</v>
      </c>
      <c r="G10" s="4">
        <v>0.112</v>
      </c>
      <c r="H10" s="4">
        <v>20</v>
      </c>
      <c r="I10" s="4">
        <v>84.2</v>
      </c>
      <c r="J10" s="4">
        <v>2.88</v>
      </c>
      <c r="K10" s="4" t="s">
        <v>108</v>
      </c>
      <c r="L10" s="4">
        <v>0</v>
      </c>
      <c r="M10" s="4">
        <v>4.2</v>
      </c>
      <c r="N10" s="4" t="s">
        <v>108</v>
      </c>
      <c r="O10" s="4">
        <v>761835.34</v>
      </c>
      <c r="P10" s="4">
        <v>149602.23000000001</v>
      </c>
    </row>
    <row r="11" spans="1:16" x14ac:dyDescent="0.35">
      <c r="A11" s="4" t="s">
        <v>19</v>
      </c>
      <c r="B11" s="5">
        <v>45717</v>
      </c>
      <c r="C11" s="4" t="s">
        <v>17</v>
      </c>
      <c r="D11" s="4" t="s">
        <v>20</v>
      </c>
      <c r="E11" s="4">
        <v>46213.45</v>
      </c>
      <c r="F11" s="4">
        <v>10616</v>
      </c>
      <c r="G11" s="4">
        <v>0.122</v>
      </c>
      <c r="H11" s="4">
        <v>22</v>
      </c>
      <c r="I11" s="4">
        <v>85.2</v>
      </c>
      <c r="J11" s="4">
        <v>0.2</v>
      </c>
      <c r="K11" s="4" t="s">
        <v>108</v>
      </c>
      <c r="L11" s="4">
        <v>1</v>
      </c>
      <c r="M11" s="4">
        <v>4.0999999999999996</v>
      </c>
      <c r="N11" s="4" t="s">
        <v>108</v>
      </c>
      <c r="O11" s="4">
        <v>806615.54</v>
      </c>
      <c r="P11" s="4">
        <v>131364.62</v>
      </c>
    </row>
    <row r="12" spans="1:16" x14ac:dyDescent="0.35">
      <c r="A12" s="4" t="s">
        <v>19</v>
      </c>
      <c r="B12" s="5">
        <v>45748</v>
      </c>
      <c r="C12" s="4" t="s">
        <v>17</v>
      </c>
      <c r="D12" s="4" t="s">
        <v>20</v>
      </c>
      <c r="E12" s="4">
        <v>68148.52</v>
      </c>
      <c r="F12" s="4">
        <v>8567</v>
      </c>
      <c r="G12" s="4">
        <v>0.127</v>
      </c>
      <c r="H12" s="4">
        <v>23</v>
      </c>
      <c r="I12" s="4">
        <v>95.6</v>
      </c>
      <c r="J12" s="4">
        <v>0.8</v>
      </c>
      <c r="K12" s="4" t="s">
        <v>108</v>
      </c>
      <c r="L12" s="4">
        <v>0</v>
      </c>
      <c r="M12" s="4">
        <v>3.9</v>
      </c>
      <c r="N12" s="4" t="s">
        <v>108</v>
      </c>
      <c r="O12" s="4">
        <v>850164.26</v>
      </c>
      <c r="P12" s="4">
        <v>149262.75</v>
      </c>
    </row>
    <row r="13" spans="1:16" x14ac:dyDescent="0.35">
      <c r="A13" s="4" t="s">
        <v>21</v>
      </c>
      <c r="B13" s="5">
        <v>45658</v>
      </c>
      <c r="C13" s="4" t="s">
        <v>22</v>
      </c>
      <c r="D13" s="4" t="s">
        <v>23</v>
      </c>
      <c r="E13" s="4">
        <v>71838.86</v>
      </c>
      <c r="F13" s="4">
        <v>10979</v>
      </c>
      <c r="G13" s="4">
        <v>0.215</v>
      </c>
      <c r="H13" s="4">
        <v>26</v>
      </c>
      <c r="I13" s="4">
        <v>88.6</v>
      </c>
      <c r="J13" s="4">
        <v>7.7</v>
      </c>
      <c r="K13" s="4" t="s">
        <v>108</v>
      </c>
      <c r="L13" s="4">
        <v>1</v>
      </c>
      <c r="M13" s="4">
        <v>3.8</v>
      </c>
      <c r="N13" s="4" t="s">
        <v>108</v>
      </c>
      <c r="O13" s="4">
        <v>930581.7</v>
      </c>
      <c r="P13" s="4">
        <v>136207.98000000001</v>
      </c>
    </row>
    <row r="14" spans="1:16" x14ac:dyDescent="0.35">
      <c r="A14" s="4" t="s">
        <v>21</v>
      </c>
      <c r="B14" s="5">
        <v>45689</v>
      </c>
      <c r="C14" s="4" t="s">
        <v>22</v>
      </c>
      <c r="D14" s="4" t="s">
        <v>23</v>
      </c>
      <c r="E14" s="4">
        <v>68133.440000000002</v>
      </c>
      <c r="F14" s="4">
        <v>9459</v>
      </c>
      <c r="G14" s="4">
        <v>0.22</v>
      </c>
      <c r="H14" s="4">
        <v>21</v>
      </c>
      <c r="I14" s="4">
        <v>85</v>
      </c>
      <c r="J14" s="4">
        <v>1.91</v>
      </c>
      <c r="K14" s="4" t="s">
        <v>108</v>
      </c>
      <c r="L14" s="4">
        <v>0</v>
      </c>
      <c r="M14" s="4">
        <v>4.2</v>
      </c>
      <c r="N14" s="4" t="s">
        <v>108</v>
      </c>
      <c r="O14" s="4">
        <v>779010.94</v>
      </c>
      <c r="P14" s="4">
        <v>106328.09</v>
      </c>
    </row>
    <row r="15" spans="1:16" x14ac:dyDescent="0.35">
      <c r="A15" s="4" t="s">
        <v>21</v>
      </c>
      <c r="B15" s="5">
        <v>45717</v>
      </c>
      <c r="C15" s="4" t="s">
        <v>22</v>
      </c>
      <c r="D15" s="4" t="s">
        <v>23</v>
      </c>
      <c r="E15" s="4">
        <v>34285.21</v>
      </c>
      <c r="F15" s="4">
        <v>9172</v>
      </c>
      <c r="G15" s="4">
        <v>0.21299999999999999</v>
      </c>
      <c r="H15" s="4">
        <v>22</v>
      </c>
      <c r="I15" s="4">
        <v>88.3</v>
      </c>
      <c r="J15" s="4">
        <v>10.46</v>
      </c>
      <c r="K15" s="4" t="s">
        <v>108</v>
      </c>
      <c r="L15" s="4">
        <v>1</v>
      </c>
      <c r="M15" s="4">
        <v>3.8</v>
      </c>
      <c r="N15" s="4" t="s">
        <v>108</v>
      </c>
      <c r="O15" s="4">
        <v>723060.76</v>
      </c>
      <c r="P15" s="4">
        <v>123131.24</v>
      </c>
    </row>
    <row r="16" spans="1:16" x14ac:dyDescent="0.35">
      <c r="A16" s="4" t="s">
        <v>21</v>
      </c>
      <c r="B16" s="5">
        <v>45748</v>
      </c>
      <c r="C16" s="4" t="s">
        <v>22</v>
      </c>
      <c r="D16" s="4" t="s">
        <v>23</v>
      </c>
      <c r="E16" s="4">
        <v>67979.88</v>
      </c>
      <c r="F16" s="4">
        <v>11230</v>
      </c>
      <c r="G16" s="4">
        <v>2E-3</v>
      </c>
      <c r="H16" s="4">
        <v>28</v>
      </c>
      <c r="I16" s="4">
        <v>85.3</v>
      </c>
      <c r="J16" s="4">
        <v>7.16</v>
      </c>
      <c r="K16" s="4" t="s">
        <v>108</v>
      </c>
      <c r="L16" s="4">
        <v>0</v>
      </c>
      <c r="M16" s="4">
        <v>3.8</v>
      </c>
      <c r="N16" s="4" t="s">
        <v>108</v>
      </c>
      <c r="O16" s="4">
        <v>910791.94</v>
      </c>
      <c r="P16" s="4">
        <v>158891.28</v>
      </c>
    </row>
    <row r="17" spans="1:16" x14ac:dyDescent="0.35">
      <c r="A17" s="4" t="s">
        <v>24</v>
      </c>
      <c r="B17" s="5">
        <v>45658</v>
      </c>
      <c r="C17" s="4" t="s">
        <v>17</v>
      </c>
      <c r="D17" s="4" t="s">
        <v>18</v>
      </c>
      <c r="E17" s="4">
        <v>71828.259999999995</v>
      </c>
      <c r="F17" s="4">
        <v>12775</v>
      </c>
      <c r="G17" s="4">
        <v>0.11600000000000001</v>
      </c>
      <c r="H17" s="4">
        <v>30</v>
      </c>
      <c r="I17" s="4">
        <v>81.7</v>
      </c>
      <c r="J17" s="4">
        <v>4.24</v>
      </c>
      <c r="K17" s="4" t="s">
        <v>108</v>
      </c>
      <c r="L17" s="4">
        <v>1</v>
      </c>
      <c r="M17" s="4">
        <v>4.2</v>
      </c>
      <c r="N17" s="4" t="s">
        <v>108</v>
      </c>
      <c r="O17" s="4">
        <v>922168.6</v>
      </c>
      <c r="P17" s="4">
        <v>107494.53</v>
      </c>
    </row>
    <row r="18" spans="1:16" x14ac:dyDescent="0.35">
      <c r="A18" s="4" t="s">
        <v>24</v>
      </c>
      <c r="B18" s="5">
        <v>45689</v>
      </c>
      <c r="C18" s="4" t="s">
        <v>17</v>
      </c>
      <c r="D18" s="4" t="s">
        <v>18</v>
      </c>
      <c r="E18" s="4">
        <v>55716.82</v>
      </c>
      <c r="F18" s="4">
        <v>10054</v>
      </c>
      <c r="G18" s="4">
        <v>0.14599999999999999</v>
      </c>
      <c r="H18" s="4">
        <v>24</v>
      </c>
      <c r="I18" s="4">
        <v>84.9</v>
      </c>
      <c r="J18" s="4">
        <v>1.06</v>
      </c>
      <c r="K18" s="4" t="s">
        <v>108</v>
      </c>
      <c r="L18" s="4">
        <v>0</v>
      </c>
      <c r="M18" s="4">
        <v>4.3</v>
      </c>
      <c r="N18" s="4" t="s">
        <v>108</v>
      </c>
      <c r="O18" s="4">
        <v>726606.28</v>
      </c>
      <c r="P18" s="4">
        <v>122729.29</v>
      </c>
    </row>
    <row r="19" spans="1:16" x14ac:dyDescent="0.35">
      <c r="A19" s="4" t="s">
        <v>24</v>
      </c>
      <c r="B19" s="5">
        <v>45717</v>
      </c>
      <c r="C19" s="4" t="s">
        <v>17</v>
      </c>
      <c r="D19" s="4" t="s">
        <v>18</v>
      </c>
      <c r="E19" s="4">
        <v>59909.51</v>
      </c>
      <c r="F19" s="4">
        <v>8895</v>
      </c>
      <c r="G19" s="4">
        <v>0.22800000000000001</v>
      </c>
      <c r="H19" s="4">
        <v>23</v>
      </c>
      <c r="I19" s="4">
        <v>88.8</v>
      </c>
      <c r="J19" s="4">
        <v>0.27</v>
      </c>
      <c r="K19" s="4" t="s">
        <v>108</v>
      </c>
      <c r="L19" s="4">
        <v>0</v>
      </c>
      <c r="M19" s="4">
        <v>4.3</v>
      </c>
      <c r="N19" s="4" t="s">
        <v>108</v>
      </c>
      <c r="O19" s="4">
        <v>746501.09</v>
      </c>
      <c r="P19" s="4">
        <v>136816.72</v>
      </c>
    </row>
    <row r="20" spans="1:16" x14ac:dyDescent="0.35">
      <c r="A20" s="4" t="s">
        <v>24</v>
      </c>
      <c r="B20" s="5">
        <v>45748</v>
      </c>
      <c r="C20" s="4" t="s">
        <v>17</v>
      </c>
      <c r="D20" s="4" t="s">
        <v>18</v>
      </c>
      <c r="E20" s="4">
        <v>75305.710000000006</v>
      </c>
      <c r="F20" s="4">
        <v>10940</v>
      </c>
      <c r="G20" s="4">
        <v>6.0000000000000001E-3</v>
      </c>
      <c r="H20" s="4">
        <v>26</v>
      </c>
      <c r="I20" s="4">
        <v>76.5</v>
      </c>
      <c r="J20" s="4">
        <v>1.32</v>
      </c>
      <c r="K20" s="4" t="s">
        <v>108</v>
      </c>
      <c r="L20" s="4">
        <v>0</v>
      </c>
      <c r="M20" s="4">
        <v>4.5</v>
      </c>
      <c r="N20" s="4" t="s">
        <v>108</v>
      </c>
      <c r="O20" s="4">
        <v>834017.02</v>
      </c>
      <c r="P20" s="4">
        <v>114745.03</v>
      </c>
    </row>
    <row r="21" spans="1:16" x14ac:dyDescent="0.35">
      <c r="A21" s="4" t="s">
        <v>25</v>
      </c>
      <c r="B21" s="5">
        <v>45658</v>
      </c>
      <c r="C21" s="4" t="s">
        <v>26</v>
      </c>
      <c r="D21" s="4" t="s">
        <v>18</v>
      </c>
      <c r="E21" s="4">
        <v>48804.22</v>
      </c>
      <c r="F21" s="4">
        <v>7057</v>
      </c>
      <c r="G21" s="4">
        <v>5.0000000000000001E-3</v>
      </c>
      <c r="H21" s="4">
        <v>15</v>
      </c>
      <c r="I21" s="4">
        <v>87.7</v>
      </c>
      <c r="J21" s="4">
        <v>1.22</v>
      </c>
      <c r="K21" s="4" t="s">
        <v>108</v>
      </c>
      <c r="L21" s="4">
        <v>0</v>
      </c>
      <c r="M21" s="4">
        <v>3.7</v>
      </c>
      <c r="N21" s="4" t="s">
        <v>108</v>
      </c>
      <c r="O21" s="4">
        <v>666152.52</v>
      </c>
      <c r="P21" s="4">
        <v>107490.58</v>
      </c>
    </row>
    <row r="22" spans="1:16" x14ac:dyDescent="0.35">
      <c r="A22" s="4" t="s">
        <v>25</v>
      </c>
      <c r="B22" s="5">
        <v>45689</v>
      </c>
      <c r="C22" s="4" t="s">
        <v>26</v>
      </c>
      <c r="D22" s="4" t="s">
        <v>18</v>
      </c>
      <c r="E22" s="4">
        <v>59117.9</v>
      </c>
      <c r="F22" s="4">
        <v>4263</v>
      </c>
      <c r="G22" s="4">
        <v>0.11899999999999999</v>
      </c>
      <c r="H22" s="4">
        <v>9</v>
      </c>
      <c r="I22" s="4">
        <v>87.6</v>
      </c>
      <c r="J22" s="4">
        <v>4.01</v>
      </c>
      <c r="K22" s="4" t="s">
        <v>108</v>
      </c>
      <c r="L22" s="4">
        <v>0</v>
      </c>
      <c r="M22" s="4">
        <v>3.6</v>
      </c>
      <c r="N22" s="4" t="s">
        <v>108</v>
      </c>
      <c r="O22" s="4">
        <v>573155.18999999994</v>
      </c>
      <c r="P22" s="4">
        <v>83680.75</v>
      </c>
    </row>
    <row r="23" spans="1:16" x14ac:dyDescent="0.35">
      <c r="A23" s="4" t="s">
        <v>25</v>
      </c>
      <c r="B23" s="5">
        <v>45717</v>
      </c>
      <c r="C23" s="4" t="s">
        <v>26</v>
      </c>
      <c r="D23" s="4" t="s">
        <v>18</v>
      </c>
      <c r="E23" s="4">
        <v>78831.12</v>
      </c>
      <c r="F23" s="4">
        <v>5538</v>
      </c>
      <c r="G23" s="4">
        <v>0</v>
      </c>
      <c r="H23" s="4">
        <v>15</v>
      </c>
      <c r="I23" s="4">
        <v>94.1</v>
      </c>
      <c r="J23" s="4">
        <v>0.2</v>
      </c>
      <c r="K23" s="4" t="s">
        <v>108</v>
      </c>
      <c r="L23" s="4">
        <v>0</v>
      </c>
      <c r="M23" s="4">
        <v>3.9</v>
      </c>
      <c r="N23" s="4" t="s">
        <v>108</v>
      </c>
      <c r="O23" s="4">
        <v>666573.19999999995</v>
      </c>
      <c r="P23" s="4">
        <v>140641.01999999999</v>
      </c>
    </row>
    <row r="24" spans="1:16" x14ac:dyDescent="0.35">
      <c r="A24" s="4" t="s">
        <v>25</v>
      </c>
      <c r="B24" s="5">
        <v>45748</v>
      </c>
      <c r="C24" s="4" t="s">
        <v>26</v>
      </c>
      <c r="D24" s="4" t="s">
        <v>18</v>
      </c>
      <c r="E24" s="4">
        <v>41441.93</v>
      </c>
      <c r="F24" s="4">
        <v>4865</v>
      </c>
      <c r="G24" s="4">
        <v>0.158</v>
      </c>
      <c r="H24" s="4">
        <v>16</v>
      </c>
      <c r="I24" s="4">
        <v>88.3</v>
      </c>
      <c r="J24" s="4">
        <v>0.5</v>
      </c>
      <c r="K24" s="4" t="s">
        <v>108</v>
      </c>
      <c r="L24" s="4">
        <v>0</v>
      </c>
      <c r="M24" s="4">
        <v>4</v>
      </c>
      <c r="N24" s="4" t="s">
        <v>108</v>
      </c>
      <c r="O24" s="4">
        <v>591619.94999999995</v>
      </c>
      <c r="P24" s="4">
        <v>99521.35</v>
      </c>
    </row>
    <row r="25" spans="1:16" x14ac:dyDescent="0.35">
      <c r="A25" s="4" t="s">
        <v>27</v>
      </c>
      <c r="B25" s="5">
        <v>45658</v>
      </c>
      <c r="C25" s="4" t="s">
        <v>22</v>
      </c>
      <c r="D25" s="4" t="s">
        <v>18</v>
      </c>
      <c r="E25" s="4">
        <v>30356.28</v>
      </c>
      <c r="F25" s="4">
        <v>2822</v>
      </c>
      <c r="G25" s="4">
        <v>0.23100000000000001</v>
      </c>
      <c r="H25" s="4">
        <v>9</v>
      </c>
      <c r="I25" s="4">
        <v>84.8</v>
      </c>
      <c r="J25" s="4">
        <v>6.95</v>
      </c>
      <c r="K25" s="4" t="s">
        <v>108</v>
      </c>
      <c r="L25" s="4">
        <v>0</v>
      </c>
      <c r="M25" s="4">
        <v>5</v>
      </c>
      <c r="N25" s="4" t="s">
        <v>108</v>
      </c>
      <c r="O25" s="4">
        <v>415721.82</v>
      </c>
      <c r="P25" s="4">
        <v>61179.15</v>
      </c>
    </row>
    <row r="26" spans="1:16" x14ac:dyDescent="0.35">
      <c r="A26" s="4" t="s">
        <v>27</v>
      </c>
      <c r="B26" s="5">
        <v>45689</v>
      </c>
      <c r="C26" s="4" t="s">
        <v>22</v>
      </c>
      <c r="D26" s="4" t="s">
        <v>18</v>
      </c>
      <c r="E26" s="4">
        <v>33518.879999999997</v>
      </c>
      <c r="F26" s="4">
        <v>2121</v>
      </c>
      <c r="G26" s="4">
        <v>0.17599999999999999</v>
      </c>
      <c r="H26" s="4">
        <v>8</v>
      </c>
      <c r="I26" s="4">
        <v>88.5</v>
      </c>
      <c r="J26" s="4">
        <v>0.2</v>
      </c>
      <c r="K26" s="4" t="s">
        <v>108</v>
      </c>
      <c r="L26" s="4">
        <v>0</v>
      </c>
      <c r="M26" s="4">
        <v>5</v>
      </c>
      <c r="N26" s="4" t="s">
        <v>108</v>
      </c>
      <c r="O26" s="4">
        <v>491905.13</v>
      </c>
      <c r="P26" s="4">
        <v>79212.259999999995</v>
      </c>
    </row>
    <row r="27" spans="1:16" x14ac:dyDescent="0.35">
      <c r="A27" s="4" t="s">
        <v>27</v>
      </c>
      <c r="B27" s="5">
        <v>45717</v>
      </c>
      <c r="C27" s="4" t="s">
        <v>22</v>
      </c>
      <c r="D27" s="4" t="s">
        <v>18</v>
      </c>
      <c r="E27" s="4">
        <v>42267.37</v>
      </c>
      <c r="F27" s="4">
        <v>3364</v>
      </c>
      <c r="G27" s="4">
        <v>0.16</v>
      </c>
      <c r="H27" s="4">
        <v>13</v>
      </c>
      <c r="I27" s="4">
        <v>82</v>
      </c>
      <c r="J27" s="4">
        <v>1.61</v>
      </c>
      <c r="K27" s="4" t="s">
        <v>108</v>
      </c>
      <c r="L27" s="4">
        <v>1</v>
      </c>
      <c r="M27" s="4">
        <v>4.5999999999999996</v>
      </c>
      <c r="N27" s="4" t="s">
        <v>108</v>
      </c>
      <c r="O27" s="4">
        <v>555929.4</v>
      </c>
      <c r="P27" s="4">
        <v>115201.76</v>
      </c>
    </row>
    <row r="28" spans="1:16" x14ac:dyDescent="0.35">
      <c r="A28" s="4" t="s">
        <v>27</v>
      </c>
      <c r="B28" s="5">
        <v>45748</v>
      </c>
      <c r="C28" s="4" t="s">
        <v>22</v>
      </c>
      <c r="D28" s="4" t="s">
        <v>18</v>
      </c>
      <c r="E28" s="4">
        <v>62060.43</v>
      </c>
      <c r="F28" s="4">
        <v>2613</v>
      </c>
      <c r="G28" s="4">
        <v>0.216</v>
      </c>
      <c r="H28" s="4">
        <v>12</v>
      </c>
      <c r="I28" s="4">
        <v>92.1</v>
      </c>
      <c r="J28" s="4">
        <v>1.55</v>
      </c>
      <c r="K28" s="4" t="s">
        <v>108</v>
      </c>
      <c r="L28" s="4">
        <v>0</v>
      </c>
      <c r="M28" s="4">
        <v>4.7</v>
      </c>
      <c r="N28" s="4" t="s">
        <v>108</v>
      </c>
      <c r="O28" s="4">
        <v>565810.99</v>
      </c>
      <c r="P28" s="4">
        <v>77825.460000000006</v>
      </c>
    </row>
    <row r="29" spans="1:16" x14ac:dyDescent="0.35">
      <c r="A29" s="4" t="s">
        <v>28</v>
      </c>
      <c r="B29" s="5">
        <v>45658</v>
      </c>
      <c r="C29" s="4" t="s">
        <v>29</v>
      </c>
      <c r="D29" s="4" t="s">
        <v>30</v>
      </c>
      <c r="E29" s="4">
        <v>57696.69</v>
      </c>
      <c r="F29" s="4">
        <v>10218</v>
      </c>
      <c r="G29" s="4">
        <v>0.121</v>
      </c>
      <c r="H29" s="4">
        <v>25</v>
      </c>
      <c r="I29" s="4">
        <v>94.8</v>
      </c>
      <c r="J29" s="4">
        <v>2.99</v>
      </c>
      <c r="K29" s="4" t="s">
        <v>108</v>
      </c>
      <c r="L29" s="4">
        <v>0</v>
      </c>
      <c r="M29" s="4">
        <v>3.5</v>
      </c>
      <c r="N29" s="4" t="s">
        <v>108</v>
      </c>
      <c r="O29" s="4">
        <v>811771.14</v>
      </c>
      <c r="P29" s="4">
        <v>148756.24</v>
      </c>
    </row>
    <row r="30" spans="1:16" x14ac:dyDescent="0.35">
      <c r="A30" s="4" t="s">
        <v>28</v>
      </c>
      <c r="B30" s="5">
        <v>45689</v>
      </c>
      <c r="C30" s="4" t="s">
        <v>29</v>
      </c>
      <c r="D30" s="4" t="s">
        <v>30</v>
      </c>
      <c r="E30" s="4">
        <v>172415.52</v>
      </c>
      <c r="F30" s="4">
        <v>8927</v>
      </c>
      <c r="G30" s="4">
        <v>0.14000000000000001</v>
      </c>
      <c r="H30" s="4">
        <v>22</v>
      </c>
      <c r="I30" s="4">
        <v>86.2</v>
      </c>
      <c r="J30" s="4">
        <v>7.04</v>
      </c>
      <c r="K30" s="4" t="s">
        <v>108</v>
      </c>
      <c r="L30" s="4">
        <v>0</v>
      </c>
      <c r="M30" s="4">
        <v>3.9</v>
      </c>
      <c r="N30" s="4" t="s">
        <v>108</v>
      </c>
      <c r="O30" s="4">
        <v>800451.94</v>
      </c>
      <c r="P30" s="4">
        <v>111572.29</v>
      </c>
    </row>
    <row r="31" spans="1:16" x14ac:dyDescent="0.35">
      <c r="A31" s="4" t="s">
        <v>28</v>
      </c>
      <c r="B31" s="5">
        <v>45717</v>
      </c>
      <c r="C31" s="4" t="s">
        <v>29</v>
      </c>
      <c r="D31" s="4" t="s">
        <v>30</v>
      </c>
      <c r="E31" s="4">
        <v>55270.52</v>
      </c>
      <c r="F31" s="4">
        <v>9315</v>
      </c>
      <c r="G31" s="4">
        <v>0.16900000000000001</v>
      </c>
      <c r="H31" s="4">
        <v>23</v>
      </c>
      <c r="I31" s="4">
        <v>91.9</v>
      </c>
      <c r="J31" s="4">
        <v>4.9400000000000004</v>
      </c>
      <c r="K31" s="4" t="s">
        <v>108</v>
      </c>
      <c r="L31" s="4">
        <v>0</v>
      </c>
      <c r="M31" s="4">
        <v>4</v>
      </c>
      <c r="N31" s="4" t="s">
        <v>108</v>
      </c>
      <c r="O31" s="4">
        <v>783672.82</v>
      </c>
      <c r="P31" s="4">
        <v>112577.14</v>
      </c>
    </row>
    <row r="32" spans="1:16" x14ac:dyDescent="0.35">
      <c r="A32" s="4" t="s">
        <v>28</v>
      </c>
      <c r="B32" s="5">
        <v>45748</v>
      </c>
      <c r="C32" s="4" t="s">
        <v>29</v>
      </c>
      <c r="D32" s="4" t="s">
        <v>30</v>
      </c>
      <c r="E32" s="4">
        <v>52715.1</v>
      </c>
      <c r="F32" s="4">
        <v>7223</v>
      </c>
      <c r="G32" s="4">
        <v>0.122</v>
      </c>
      <c r="H32" s="4">
        <v>16</v>
      </c>
      <c r="I32" s="4">
        <v>84.2</v>
      </c>
      <c r="J32" s="4">
        <v>16.149999999999999</v>
      </c>
      <c r="K32" s="4" t="s">
        <v>108</v>
      </c>
      <c r="L32" s="4">
        <v>0</v>
      </c>
      <c r="M32" s="4">
        <v>3.7</v>
      </c>
      <c r="N32" s="4" t="s">
        <v>108</v>
      </c>
      <c r="O32" s="4">
        <v>701641.97</v>
      </c>
      <c r="P32" s="4">
        <v>106111.86</v>
      </c>
    </row>
    <row r="33" spans="1:16" x14ac:dyDescent="0.35">
      <c r="A33" s="4" t="s">
        <v>31</v>
      </c>
      <c r="B33" s="5">
        <v>45658</v>
      </c>
      <c r="C33" s="4" t="s">
        <v>17</v>
      </c>
      <c r="D33" s="4" t="s">
        <v>18</v>
      </c>
      <c r="E33" s="4">
        <v>68600.62</v>
      </c>
      <c r="F33" s="4">
        <v>3988</v>
      </c>
      <c r="G33" s="4">
        <v>0.124</v>
      </c>
      <c r="H33" s="4">
        <v>11</v>
      </c>
      <c r="I33" s="4">
        <v>85</v>
      </c>
      <c r="J33" s="4">
        <v>0.48</v>
      </c>
      <c r="K33" s="4" t="s">
        <v>108</v>
      </c>
      <c r="L33" s="4">
        <v>0</v>
      </c>
      <c r="M33" s="4">
        <v>3.6</v>
      </c>
      <c r="N33" s="4" t="s">
        <v>108</v>
      </c>
      <c r="O33" s="4">
        <v>511844.41</v>
      </c>
      <c r="P33" s="4">
        <v>72774.44</v>
      </c>
    </row>
    <row r="34" spans="1:16" x14ac:dyDescent="0.35">
      <c r="A34" s="4" t="s">
        <v>31</v>
      </c>
      <c r="B34" s="5">
        <v>45689</v>
      </c>
      <c r="C34" s="4" t="s">
        <v>17</v>
      </c>
      <c r="D34" s="4" t="s">
        <v>18</v>
      </c>
      <c r="E34" s="4">
        <v>63176.73</v>
      </c>
      <c r="F34" s="4">
        <v>2390</v>
      </c>
      <c r="G34" s="4">
        <v>0.216</v>
      </c>
      <c r="H34" s="4">
        <v>9</v>
      </c>
      <c r="I34" s="4">
        <v>87.5</v>
      </c>
      <c r="J34" s="4">
        <v>0.31</v>
      </c>
      <c r="K34" s="4" t="s">
        <v>108</v>
      </c>
      <c r="L34" s="4">
        <v>0</v>
      </c>
      <c r="M34" s="4">
        <v>3.1</v>
      </c>
      <c r="N34" s="4" t="s">
        <v>108</v>
      </c>
      <c r="O34" s="4">
        <v>537383.79</v>
      </c>
      <c r="P34" s="4">
        <v>63773.27</v>
      </c>
    </row>
    <row r="35" spans="1:16" x14ac:dyDescent="0.35">
      <c r="A35" s="4" t="s">
        <v>31</v>
      </c>
      <c r="B35" s="5">
        <v>45717</v>
      </c>
      <c r="C35" s="4" t="s">
        <v>17</v>
      </c>
      <c r="D35" s="4" t="s">
        <v>18</v>
      </c>
      <c r="E35" s="4">
        <v>44970.080000000002</v>
      </c>
      <c r="F35" s="4">
        <v>2471</v>
      </c>
      <c r="G35" s="4">
        <v>0.13600000000000001</v>
      </c>
      <c r="H35" s="4">
        <v>11</v>
      </c>
      <c r="I35" s="4">
        <v>87.6</v>
      </c>
      <c r="J35" s="4">
        <v>3.01</v>
      </c>
      <c r="K35" s="4" t="s">
        <v>108</v>
      </c>
      <c r="L35" s="4">
        <v>1</v>
      </c>
      <c r="M35" s="4">
        <v>3.7</v>
      </c>
      <c r="N35" s="4" t="s">
        <v>108</v>
      </c>
      <c r="O35" s="4">
        <v>500173.02</v>
      </c>
      <c r="P35" s="4">
        <v>70982.05</v>
      </c>
    </row>
    <row r="36" spans="1:16" x14ac:dyDescent="0.35">
      <c r="A36" s="4" t="s">
        <v>31</v>
      </c>
      <c r="B36" s="5">
        <v>45748</v>
      </c>
      <c r="C36" s="4" t="s">
        <v>17</v>
      </c>
      <c r="D36" s="4" t="s">
        <v>18</v>
      </c>
      <c r="E36" s="4">
        <v>69816.350000000006</v>
      </c>
      <c r="F36" s="4">
        <v>971</v>
      </c>
      <c r="G36" s="4">
        <v>0.16800000000000001</v>
      </c>
      <c r="H36" s="4">
        <v>5</v>
      </c>
      <c r="I36" s="4">
        <v>89.9</v>
      </c>
      <c r="J36" s="4">
        <v>12.15</v>
      </c>
      <c r="K36" s="4" t="s">
        <v>108</v>
      </c>
      <c r="L36" s="4">
        <v>0</v>
      </c>
      <c r="M36" s="4">
        <v>3.6</v>
      </c>
      <c r="N36" s="4" t="s">
        <v>108</v>
      </c>
      <c r="O36" s="4">
        <v>427917.38</v>
      </c>
      <c r="P36" s="4">
        <v>81824.31</v>
      </c>
    </row>
    <row r="37" spans="1:16" x14ac:dyDescent="0.35">
      <c r="A37" s="4" t="s">
        <v>32</v>
      </c>
      <c r="B37" s="5">
        <v>45658</v>
      </c>
      <c r="C37" s="4" t="s">
        <v>22</v>
      </c>
      <c r="D37" s="4" t="s">
        <v>18</v>
      </c>
      <c r="E37" s="4">
        <v>54597.83</v>
      </c>
      <c r="F37" s="4">
        <v>9429</v>
      </c>
      <c r="G37" s="4">
        <v>0.188</v>
      </c>
      <c r="H37" s="4">
        <v>21</v>
      </c>
      <c r="I37" s="4">
        <v>83.3</v>
      </c>
      <c r="J37" s="4">
        <v>11.71</v>
      </c>
      <c r="K37" s="4" t="s">
        <v>108</v>
      </c>
      <c r="L37" s="4">
        <v>0</v>
      </c>
      <c r="M37" s="4">
        <v>4.2</v>
      </c>
      <c r="N37" s="4" t="s">
        <v>108</v>
      </c>
      <c r="O37" s="4">
        <v>641865.03</v>
      </c>
      <c r="P37" s="4">
        <v>81342.58</v>
      </c>
    </row>
    <row r="38" spans="1:16" x14ac:dyDescent="0.35">
      <c r="A38" s="4" t="s">
        <v>32</v>
      </c>
      <c r="B38" s="5">
        <v>45689</v>
      </c>
      <c r="C38" s="4" t="s">
        <v>22</v>
      </c>
      <c r="D38" s="4" t="s">
        <v>18</v>
      </c>
      <c r="E38" s="4">
        <v>73771.91</v>
      </c>
      <c r="F38" s="4">
        <v>11695</v>
      </c>
      <c r="G38" s="4">
        <v>7.0000000000000007E-2</v>
      </c>
      <c r="H38" s="4">
        <v>25</v>
      </c>
      <c r="I38" s="4">
        <v>84.7</v>
      </c>
      <c r="J38" s="4">
        <v>0.62</v>
      </c>
      <c r="K38" s="4" t="s">
        <v>108</v>
      </c>
      <c r="L38" s="4">
        <v>0</v>
      </c>
      <c r="M38" s="4">
        <v>3.9</v>
      </c>
      <c r="N38" s="4" t="s">
        <v>109</v>
      </c>
      <c r="O38" s="4">
        <v>799477.76000000001</v>
      </c>
      <c r="P38" s="4">
        <v>164974.41</v>
      </c>
    </row>
    <row r="39" spans="1:16" x14ac:dyDescent="0.35">
      <c r="A39" s="4" t="s">
        <v>32</v>
      </c>
      <c r="B39" s="5">
        <v>45717</v>
      </c>
      <c r="C39" s="4" t="s">
        <v>22</v>
      </c>
      <c r="D39" s="4" t="s">
        <v>18</v>
      </c>
      <c r="E39" s="4">
        <v>74413.88</v>
      </c>
      <c r="F39" s="4">
        <v>9449</v>
      </c>
      <c r="G39" s="4">
        <v>3.9E-2</v>
      </c>
      <c r="H39" s="4">
        <v>23</v>
      </c>
      <c r="I39" s="4">
        <v>92.1</v>
      </c>
      <c r="J39" s="4">
        <v>2.12</v>
      </c>
      <c r="K39" s="4" t="s">
        <v>108</v>
      </c>
      <c r="L39" s="4">
        <v>0</v>
      </c>
      <c r="M39" s="4">
        <v>3.5</v>
      </c>
      <c r="N39" s="4" t="s">
        <v>108</v>
      </c>
      <c r="O39" s="4">
        <v>798952.17</v>
      </c>
      <c r="P39" s="4">
        <v>161499.04</v>
      </c>
    </row>
    <row r="40" spans="1:16" x14ac:dyDescent="0.35">
      <c r="A40" s="4" t="s">
        <v>32</v>
      </c>
      <c r="B40" s="5">
        <v>45748</v>
      </c>
      <c r="C40" s="4" t="s">
        <v>22</v>
      </c>
      <c r="D40" s="4" t="s">
        <v>18</v>
      </c>
      <c r="E40" s="4">
        <v>52483.77</v>
      </c>
      <c r="F40" s="4">
        <v>10453</v>
      </c>
      <c r="G40" s="4">
        <v>0.247</v>
      </c>
      <c r="H40" s="4">
        <v>25</v>
      </c>
      <c r="I40" s="4">
        <v>99</v>
      </c>
      <c r="J40" s="4">
        <v>6.31</v>
      </c>
      <c r="K40" s="4" t="s">
        <v>108</v>
      </c>
      <c r="L40" s="4">
        <v>0</v>
      </c>
      <c r="M40" s="4">
        <v>3.6</v>
      </c>
      <c r="N40" s="4" t="s">
        <v>108</v>
      </c>
      <c r="O40" s="4">
        <v>800979.78</v>
      </c>
      <c r="P40" s="4">
        <v>149242.26999999999</v>
      </c>
    </row>
    <row r="41" spans="1:16" x14ac:dyDescent="0.35">
      <c r="A41" s="4" t="s">
        <v>33</v>
      </c>
      <c r="B41" s="5">
        <v>45658</v>
      </c>
      <c r="C41" s="4" t="s">
        <v>22</v>
      </c>
      <c r="D41" s="4" t="s">
        <v>30</v>
      </c>
      <c r="E41" s="4">
        <v>75269.87</v>
      </c>
      <c r="F41" s="4">
        <v>8838</v>
      </c>
      <c r="G41" s="4">
        <v>9.1999999999999998E-2</v>
      </c>
      <c r="H41" s="4">
        <v>21</v>
      </c>
      <c r="I41" s="4">
        <v>83.1</v>
      </c>
      <c r="J41" s="4">
        <v>9.56</v>
      </c>
      <c r="K41" s="4" t="s">
        <v>108</v>
      </c>
      <c r="L41" s="4">
        <v>1</v>
      </c>
      <c r="M41" s="4">
        <v>4.2</v>
      </c>
      <c r="N41" s="4" t="s">
        <v>108</v>
      </c>
      <c r="O41" s="4">
        <v>820593.93</v>
      </c>
      <c r="P41" s="4">
        <v>115860.06</v>
      </c>
    </row>
    <row r="42" spans="1:16" x14ac:dyDescent="0.35">
      <c r="A42" s="4" t="s">
        <v>33</v>
      </c>
      <c r="B42" s="5">
        <v>45689</v>
      </c>
      <c r="C42" s="4" t="s">
        <v>22</v>
      </c>
      <c r="D42" s="4" t="s">
        <v>30</v>
      </c>
      <c r="E42" s="4">
        <v>61245.41</v>
      </c>
      <c r="F42" s="4">
        <v>8156</v>
      </c>
      <c r="G42" s="4">
        <v>0.156</v>
      </c>
      <c r="H42" s="4">
        <v>19</v>
      </c>
      <c r="I42" s="4">
        <v>92.9</v>
      </c>
      <c r="J42" s="4">
        <v>9.0500000000000007</v>
      </c>
      <c r="K42" s="4" t="s">
        <v>108</v>
      </c>
      <c r="L42" s="4">
        <v>0</v>
      </c>
      <c r="M42" s="4">
        <v>3.8</v>
      </c>
      <c r="N42" s="4" t="s">
        <v>108</v>
      </c>
      <c r="O42" s="4">
        <v>718330.53</v>
      </c>
      <c r="P42" s="4">
        <v>93247.9</v>
      </c>
    </row>
    <row r="43" spans="1:16" x14ac:dyDescent="0.35">
      <c r="A43" s="4" t="s">
        <v>33</v>
      </c>
      <c r="B43" s="5">
        <v>45717</v>
      </c>
      <c r="C43" s="4" t="s">
        <v>22</v>
      </c>
      <c r="D43" s="4" t="s">
        <v>30</v>
      </c>
      <c r="E43" s="4">
        <v>93381.26</v>
      </c>
      <c r="F43" s="4">
        <v>7562</v>
      </c>
      <c r="G43" s="4">
        <v>0.19800000000000001</v>
      </c>
      <c r="H43" s="4">
        <v>19</v>
      </c>
      <c r="I43" s="4">
        <v>82.9</v>
      </c>
      <c r="J43" s="4">
        <v>5.05</v>
      </c>
      <c r="K43" s="4" t="s">
        <v>108</v>
      </c>
      <c r="L43" s="4">
        <v>0</v>
      </c>
      <c r="M43" s="4">
        <v>4</v>
      </c>
      <c r="N43" s="4" t="s">
        <v>108</v>
      </c>
      <c r="O43" s="4">
        <v>736633.4</v>
      </c>
      <c r="P43" s="4">
        <v>115654.66</v>
      </c>
    </row>
    <row r="44" spans="1:16" x14ac:dyDescent="0.35">
      <c r="A44" s="4" t="s">
        <v>33</v>
      </c>
      <c r="B44" s="5">
        <v>45748</v>
      </c>
      <c r="C44" s="4" t="s">
        <v>22</v>
      </c>
      <c r="D44" s="4" t="s">
        <v>30</v>
      </c>
      <c r="E44" s="4">
        <v>65012.19</v>
      </c>
      <c r="F44" s="4">
        <v>9598</v>
      </c>
      <c r="G44" s="4">
        <v>8.5000000000000006E-2</v>
      </c>
      <c r="H44" s="4">
        <v>24</v>
      </c>
      <c r="I44" s="4">
        <v>98.3</v>
      </c>
      <c r="J44" s="4">
        <v>0.89</v>
      </c>
      <c r="K44" s="4" t="s">
        <v>108</v>
      </c>
      <c r="L44" s="4">
        <v>0</v>
      </c>
      <c r="M44" s="4">
        <v>3.8</v>
      </c>
      <c r="N44" s="4" t="s">
        <v>108</v>
      </c>
      <c r="O44" s="4">
        <v>828623.85</v>
      </c>
      <c r="P44" s="4">
        <v>167320.51999999999</v>
      </c>
    </row>
    <row r="45" spans="1:16" x14ac:dyDescent="0.35">
      <c r="A45" s="4" t="s">
        <v>34</v>
      </c>
      <c r="B45" s="5">
        <v>45658</v>
      </c>
      <c r="C45" s="4" t="s">
        <v>17</v>
      </c>
      <c r="D45" s="4" t="s">
        <v>30</v>
      </c>
      <c r="E45" s="4">
        <v>40462.94</v>
      </c>
      <c r="F45" s="4">
        <v>3660</v>
      </c>
      <c r="G45" s="4">
        <v>0.218</v>
      </c>
      <c r="H45" s="4">
        <v>11</v>
      </c>
      <c r="I45" s="4">
        <v>95.2</v>
      </c>
      <c r="J45" s="4">
        <v>5.57</v>
      </c>
      <c r="K45" s="4" t="s">
        <v>108</v>
      </c>
      <c r="L45" s="4">
        <v>0</v>
      </c>
      <c r="M45" s="4">
        <v>4.4000000000000004</v>
      </c>
      <c r="N45" s="4" t="s">
        <v>108</v>
      </c>
      <c r="O45" s="4">
        <v>592195.85</v>
      </c>
      <c r="P45" s="4">
        <v>92291.56</v>
      </c>
    </row>
    <row r="46" spans="1:16" x14ac:dyDescent="0.35">
      <c r="A46" s="4" t="s">
        <v>34</v>
      </c>
      <c r="B46" s="5">
        <v>45689</v>
      </c>
      <c r="C46" s="4" t="s">
        <v>17</v>
      </c>
      <c r="D46" s="4" t="s">
        <v>30</v>
      </c>
      <c r="E46" s="4">
        <v>46123.88</v>
      </c>
      <c r="F46" s="4">
        <v>3227</v>
      </c>
      <c r="G46" s="4">
        <v>0.14299999999999999</v>
      </c>
      <c r="H46" s="4">
        <v>10</v>
      </c>
      <c r="I46" s="4">
        <v>75.400000000000006</v>
      </c>
      <c r="J46" s="4">
        <v>1.06</v>
      </c>
      <c r="K46" s="4" t="s">
        <v>108</v>
      </c>
      <c r="L46" s="4">
        <v>0</v>
      </c>
      <c r="M46" s="4">
        <v>4.4000000000000004</v>
      </c>
      <c r="N46" s="4" t="s">
        <v>108</v>
      </c>
      <c r="O46" s="4">
        <v>532644.46</v>
      </c>
      <c r="P46" s="4">
        <v>60681.32</v>
      </c>
    </row>
    <row r="47" spans="1:16" x14ac:dyDescent="0.35">
      <c r="A47" s="4" t="s">
        <v>34</v>
      </c>
      <c r="B47" s="5">
        <v>45717</v>
      </c>
      <c r="C47" s="4" t="s">
        <v>17</v>
      </c>
      <c r="D47" s="4" t="s">
        <v>30</v>
      </c>
      <c r="E47" s="4">
        <v>68077.539999999994</v>
      </c>
      <c r="F47" s="4">
        <v>3360</v>
      </c>
      <c r="G47" s="4">
        <v>0.128</v>
      </c>
      <c r="H47" s="4">
        <v>14</v>
      </c>
      <c r="I47" s="4">
        <v>88.2</v>
      </c>
      <c r="J47" s="4">
        <v>1.24</v>
      </c>
      <c r="K47" s="4" t="s">
        <v>108</v>
      </c>
      <c r="L47" s="4">
        <v>1</v>
      </c>
      <c r="M47" s="4">
        <v>4</v>
      </c>
      <c r="N47" s="4" t="s">
        <v>108</v>
      </c>
      <c r="O47" s="4">
        <v>657429.18000000005</v>
      </c>
      <c r="P47" s="4">
        <v>88919.74</v>
      </c>
    </row>
    <row r="48" spans="1:16" x14ac:dyDescent="0.35">
      <c r="A48" s="4" t="s">
        <v>34</v>
      </c>
      <c r="B48" s="5">
        <v>45748</v>
      </c>
      <c r="C48" s="4" t="s">
        <v>17</v>
      </c>
      <c r="D48" s="4" t="s">
        <v>30</v>
      </c>
      <c r="E48" s="4">
        <v>64882.14</v>
      </c>
      <c r="F48" s="4">
        <v>3642</v>
      </c>
      <c r="G48" s="4">
        <v>1.9E-2</v>
      </c>
      <c r="H48" s="4">
        <v>13</v>
      </c>
      <c r="I48" s="4">
        <v>87.8</v>
      </c>
      <c r="J48" s="4">
        <v>4.5199999999999996</v>
      </c>
      <c r="K48" s="4" t="s">
        <v>108</v>
      </c>
      <c r="L48" s="4">
        <v>0</v>
      </c>
      <c r="M48" s="4">
        <v>4.2</v>
      </c>
      <c r="N48" s="4" t="s">
        <v>108</v>
      </c>
      <c r="O48" s="4">
        <v>605178</v>
      </c>
      <c r="P48" s="4">
        <v>106958.74</v>
      </c>
    </row>
    <row r="49" spans="1:16" x14ac:dyDescent="0.35">
      <c r="A49" s="4" t="s">
        <v>35</v>
      </c>
      <c r="B49" s="5">
        <v>45658</v>
      </c>
      <c r="C49" s="4" t="s">
        <v>29</v>
      </c>
      <c r="D49" s="4" t="s">
        <v>18</v>
      </c>
      <c r="E49" s="4">
        <v>138855.51</v>
      </c>
      <c r="F49" s="4">
        <v>5145</v>
      </c>
      <c r="G49" s="4">
        <v>0.06</v>
      </c>
      <c r="H49" s="4">
        <v>17</v>
      </c>
      <c r="I49" s="4">
        <v>88.2</v>
      </c>
      <c r="J49" s="4">
        <v>9.58</v>
      </c>
      <c r="K49" s="4" t="s">
        <v>108</v>
      </c>
      <c r="L49" s="4">
        <v>0</v>
      </c>
      <c r="M49" s="4">
        <v>3.2</v>
      </c>
      <c r="N49" s="4" t="s">
        <v>108</v>
      </c>
      <c r="O49" s="4">
        <v>595467.6</v>
      </c>
      <c r="P49" s="4">
        <v>104276.46</v>
      </c>
    </row>
    <row r="50" spans="1:16" x14ac:dyDescent="0.35">
      <c r="A50" s="4" t="s">
        <v>35</v>
      </c>
      <c r="B50" s="5">
        <v>45689</v>
      </c>
      <c r="C50" s="4" t="s">
        <v>29</v>
      </c>
      <c r="D50" s="4" t="s">
        <v>18</v>
      </c>
      <c r="E50" s="4">
        <v>63630.21</v>
      </c>
      <c r="F50" s="4">
        <v>4460</v>
      </c>
      <c r="G50" s="4">
        <v>0.23499999999999999</v>
      </c>
      <c r="H50" s="4">
        <v>14</v>
      </c>
      <c r="I50" s="4">
        <v>98.6</v>
      </c>
      <c r="J50" s="4">
        <v>5.52</v>
      </c>
      <c r="K50" s="4" t="s">
        <v>108</v>
      </c>
      <c r="L50" s="4">
        <v>0</v>
      </c>
      <c r="M50" s="4">
        <v>3.5</v>
      </c>
      <c r="N50" s="4" t="s">
        <v>108</v>
      </c>
      <c r="O50" s="4">
        <v>599603.4</v>
      </c>
      <c r="P50" s="4">
        <v>112685.12</v>
      </c>
    </row>
    <row r="51" spans="1:16" x14ac:dyDescent="0.35">
      <c r="A51" s="4" t="s">
        <v>35</v>
      </c>
      <c r="B51" s="5">
        <v>45717</v>
      </c>
      <c r="C51" s="4" t="s">
        <v>29</v>
      </c>
      <c r="D51" s="4" t="s">
        <v>18</v>
      </c>
      <c r="E51" s="4">
        <v>50043.65</v>
      </c>
      <c r="F51" s="4">
        <v>3804</v>
      </c>
      <c r="G51" s="4">
        <v>0.113</v>
      </c>
      <c r="H51" s="4">
        <v>11</v>
      </c>
      <c r="I51" s="4">
        <v>90.9</v>
      </c>
      <c r="J51" s="4">
        <v>2.7</v>
      </c>
      <c r="K51" s="4" t="s">
        <v>108</v>
      </c>
      <c r="L51" s="4">
        <v>1</v>
      </c>
      <c r="M51" s="4">
        <v>3.2</v>
      </c>
      <c r="N51" s="4" t="s">
        <v>108</v>
      </c>
      <c r="O51" s="4">
        <v>614800.09</v>
      </c>
      <c r="P51" s="4">
        <v>100044.2</v>
      </c>
    </row>
    <row r="52" spans="1:16" x14ac:dyDescent="0.35">
      <c r="A52" s="4" t="s">
        <v>35</v>
      </c>
      <c r="B52" s="5">
        <v>45748</v>
      </c>
      <c r="C52" s="4" t="s">
        <v>29</v>
      </c>
      <c r="D52" s="4" t="s">
        <v>18</v>
      </c>
      <c r="E52" s="4">
        <v>42093.84</v>
      </c>
      <c r="F52" s="4">
        <v>4074</v>
      </c>
      <c r="G52" s="4">
        <v>0.155</v>
      </c>
      <c r="H52" s="4">
        <v>15</v>
      </c>
      <c r="I52" s="4">
        <v>88</v>
      </c>
      <c r="J52" s="4">
        <v>9.64</v>
      </c>
      <c r="K52" s="4" t="s">
        <v>108</v>
      </c>
      <c r="L52" s="4">
        <v>0</v>
      </c>
      <c r="M52" s="4">
        <v>3.3</v>
      </c>
      <c r="N52" s="4" t="s">
        <v>108</v>
      </c>
      <c r="O52" s="4">
        <v>585365.73</v>
      </c>
      <c r="P52" s="4">
        <v>81011.520000000004</v>
      </c>
    </row>
    <row r="53" spans="1:16" x14ac:dyDescent="0.35">
      <c r="A53" s="4" t="s">
        <v>36</v>
      </c>
      <c r="B53" s="5">
        <v>45658</v>
      </c>
      <c r="C53" s="4" t="s">
        <v>22</v>
      </c>
      <c r="D53" s="4" t="s">
        <v>30</v>
      </c>
      <c r="E53" s="4">
        <v>46624.05</v>
      </c>
      <c r="F53" s="4">
        <v>5104</v>
      </c>
      <c r="G53" s="4">
        <v>0.109</v>
      </c>
      <c r="H53" s="4">
        <v>11</v>
      </c>
      <c r="I53" s="4">
        <v>97.3</v>
      </c>
      <c r="J53" s="4">
        <v>3.49</v>
      </c>
      <c r="K53" s="4" t="s">
        <v>108</v>
      </c>
      <c r="L53" s="4">
        <v>1</v>
      </c>
      <c r="M53" s="4">
        <v>4.7</v>
      </c>
      <c r="N53" s="4" t="s">
        <v>108</v>
      </c>
      <c r="O53" s="4">
        <v>622811.74</v>
      </c>
      <c r="P53" s="4">
        <v>109978.35</v>
      </c>
    </row>
    <row r="54" spans="1:16" x14ac:dyDescent="0.35">
      <c r="A54" s="4" t="s">
        <v>36</v>
      </c>
      <c r="B54" s="5">
        <v>45689</v>
      </c>
      <c r="C54" s="4" t="s">
        <v>22</v>
      </c>
      <c r="D54" s="4" t="s">
        <v>30</v>
      </c>
      <c r="E54" s="4">
        <v>49710.29</v>
      </c>
      <c r="F54" s="4">
        <v>5559</v>
      </c>
      <c r="G54" s="4">
        <v>0.218</v>
      </c>
      <c r="H54" s="4">
        <v>14</v>
      </c>
      <c r="I54" s="4">
        <v>71</v>
      </c>
      <c r="J54" s="4">
        <v>9.11</v>
      </c>
      <c r="K54" s="4" t="s">
        <v>108</v>
      </c>
      <c r="L54" s="4">
        <v>0</v>
      </c>
      <c r="M54" s="4">
        <v>4.5999999999999996</v>
      </c>
      <c r="N54" s="4" t="s">
        <v>108</v>
      </c>
      <c r="O54" s="4">
        <v>603297.56999999995</v>
      </c>
      <c r="P54" s="4">
        <v>60592.26</v>
      </c>
    </row>
    <row r="55" spans="1:16" x14ac:dyDescent="0.35">
      <c r="A55" s="4" t="s">
        <v>36</v>
      </c>
      <c r="B55" s="5">
        <v>45717</v>
      </c>
      <c r="C55" s="4" t="s">
        <v>22</v>
      </c>
      <c r="D55" s="4" t="s">
        <v>30</v>
      </c>
      <c r="E55" s="4">
        <v>48287.85</v>
      </c>
      <c r="F55" s="4">
        <v>5150</v>
      </c>
      <c r="G55" s="4">
        <v>8.0000000000000002E-3</v>
      </c>
      <c r="H55" s="4">
        <v>12</v>
      </c>
      <c r="I55" s="4">
        <v>80.400000000000006</v>
      </c>
      <c r="J55" s="4">
        <v>7.4</v>
      </c>
      <c r="K55" s="4" t="s">
        <v>108</v>
      </c>
      <c r="L55" s="4">
        <v>0</v>
      </c>
      <c r="M55" s="4">
        <v>4.5</v>
      </c>
      <c r="N55" s="4" t="s">
        <v>108</v>
      </c>
      <c r="O55" s="4">
        <v>625672.86</v>
      </c>
      <c r="P55" s="4">
        <v>118020.12</v>
      </c>
    </row>
    <row r="56" spans="1:16" x14ac:dyDescent="0.35">
      <c r="A56" s="4" t="s">
        <v>36</v>
      </c>
      <c r="B56" s="5">
        <v>45748</v>
      </c>
      <c r="C56" s="4" t="s">
        <v>22</v>
      </c>
      <c r="D56" s="4" t="s">
        <v>30</v>
      </c>
      <c r="E56" s="4">
        <v>65312.49</v>
      </c>
      <c r="F56" s="4">
        <v>7189</v>
      </c>
      <c r="G56" s="4">
        <v>0.05</v>
      </c>
      <c r="H56" s="4">
        <v>19</v>
      </c>
      <c r="I56" s="4">
        <v>93.7</v>
      </c>
      <c r="J56" s="4">
        <v>7.16</v>
      </c>
      <c r="K56" s="4" t="s">
        <v>108</v>
      </c>
      <c r="L56" s="4">
        <v>0</v>
      </c>
      <c r="M56" s="4">
        <v>4.5999999999999996</v>
      </c>
      <c r="N56" s="4" t="s">
        <v>108</v>
      </c>
      <c r="O56" s="4">
        <v>773815.14</v>
      </c>
      <c r="P56" s="4">
        <v>133948.39000000001</v>
      </c>
    </row>
    <row r="57" spans="1:16" x14ac:dyDescent="0.35">
      <c r="A57" s="4" t="s">
        <v>37</v>
      </c>
      <c r="B57" s="5">
        <v>45658</v>
      </c>
      <c r="C57" s="4" t="s">
        <v>29</v>
      </c>
      <c r="D57" s="4" t="s">
        <v>20</v>
      </c>
      <c r="E57" s="4">
        <v>53015.46</v>
      </c>
      <c r="F57" s="4">
        <v>3279</v>
      </c>
      <c r="G57" s="4">
        <v>8.6999999999999994E-2</v>
      </c>
      <c r="H57" s="4">
        <v>9</v>
      </c>
      <c r="I57" s="4">
        <v>84.3</v>
      </c>
      <c r="J57" s="4">
        <v>22.02</v>
      </c>
      <c r="K57" s="4" t="s">
        <v>108</v>
      </c>
      <c r="L57" s="4">
        <v>0</v>
      </c>
      <c r="M57" s="4">
        <v>3.9</v>
      </c>
      <c r="N57" s="4" t="s">
        <v>108</v>
      </c>
      <c r="O57" s="4">
        <v>463534.25</v>
      </c>
      <c r="P57" s="4">
        <v>81834.539999999994</v>
      </c>
    </row>
    <row r="58" spans="1:16" x14ac:dyDescent="0.35">
      <c r="A58" s="4" t="s">
        <v>37</v>
      </c>
      <c r="B58" s="5">
        <v>45689</v>
      </c>
      <c r="C58" s="4" t="s">
        <v>29</v>
      </c>
      <c r="D58" s="4" t="s">
        <v>20</v>
      </c>
      <c r="E58" s="4">
        <v>99874.01</v>
      </c>
      <c r="F58" s="4">
        <v>5887</v>
      </c>
      <c r="G58" s="4">
        <v>0.26200000000000001</v>
      </c>
      <c r="H58" s="4">
        <v>14</v>
      </c>
      <c r="I58" s="4">
        <v>88.7</v>
      </c>
      <c r="J58" s="4">
        <v>6.18</v>
      </c>
      <c r="K58" s="4" t="s">
        <v>108</v>
      </c>
      <c r="L58" s="4">
        <v>0</v>
      </c>
      <c r="M58" s="4">
        <v>4.7</v>
      </c>
      <c r="N58" s="4" t="s">
        <v>108</v>
      </c>
      <c r="O58" s="4">
        <v>746677.75</v>
      </c>
      <c r="P58" s="4">
        <v>122437.84</v>
      </c>
    </row>
    <row r="59" spans="1:16" x14ac:dyDescent="0.35">
      <c r="A59" s="4" t="s">
        <v>37</v>
      </c>
      <c r="B59" s="5">
        <v>45717</v>
      </c>
      <c r="C59" s="4" t="s">
        <v>29</v>
      </c>
      <c r="D59" s="4" t="s">
        <v>20</v>
      </c>
      <c r="E59" s="4">
        <v>81195.5</v>
      </c>
      <c r="F59" s="4">
        <v>5516</v>
      </c>
      <c r="G59" s="4">
        <v>0.106</v>
      </c>
      <c r="H59" s="4">
        <v>14</v>
      </c>
      <c r="I59" s="4">
        <v>88</v>
      </c>
      <c r="J59" s="4">
        <v>1.76</v>
      </c>
      <c r="K59" s="4" t="s">
        <v>108</v>
      </c>
      <c r="L59" s="4">
        <v>0</v>
      </c>
      <c r="M59" s="4">
        <v>4.3</v>
      </c>
      <c r="N59" s="4" t="s">
        <v>108</v>
      </c>
      <c r="O59" s="4">
        <v>720852.5</v>
      </c>
      <c r="P59" s="4">
        <v>98565.62</v>
      </c>
    </row>
    <row r="60" spans="1:16" x14ac:dyDescent="0.35">
      <c r="A60" s="4" t="s">
        <v>37</v>
      </c>
      <c r="B60" s="5">
        <v>45748</v>
      </c>
      <c r="C60" s="4" t="s">
        <v>29</v>
      </c>
      <c r="D60" s="4" t="s">
        <v>20</v>
      </c>
      <c r="E60" s="4">
        <v>27808.6</v>
      </c>
      <c r="F60" s="4">
        <v>2863</v>
      </c>
      <c r="G60" s="4">
        <v>0.08</v>
      </c>
      <c r="H60" s="4">
        <v>13</v>
      </c>
      <c r="I60" s="4">
        <v>89.3</v>
      </c>
      <c r="J60" s="4">
        <v>0.47</v>
      </c>
      <c r="K60" s="4" t="s">
        <v>108</v>
      </c>
      <c r="L60" s="4">
        <v>0</v>
      </c>
      <c r="M60" s="4">
        <v>4.0999999999999996</v>
      </c>
      <c r="N60" s="4" t="s">
        <v>108</v>
      </c>
      <c r="O60" s="4">
        <v>487464.91</v>
      </c>
      <c r="P60" s="4">
        <v>64562.26</v>
      </c>
    </row>
    <row r="61" spans="1:16" x14ac:dyDescent="0.35">
      <c r="A61" s="4" t="s">
        <v>38</v>
      </c>
      <c r="B61" s="5">
        <v>45658</v>
      </c>
      <c r="C61" s="4" t="s">
        <v>17</v>
      </c>
      <c r="D61" s="4" t="s">
        <v>23</v>
      </c>
      <c r="E61" s="4">
        <v>19365.060000000001</v>
      </c>
      <c r="F61" s="4">
        <v>2378</v>
      </c>
      <c r="G61" s="4">
        <v>0</v>
      </c>
      <c r="H61" s="4">
        <v>12</v>
      </c>
      <c r="I61" s="4">
        <v>94.8</v>
      </c>
      <c r="J61" s="4">
        <v>0.2</v>
      </c>
      <c r="K61" s="4" t="s">
        <v>108</v>
      </c>
      <c r="L61" s="4">
        <v>0</v>
      </c>
      <c r="M61" s="4">
        <v>3.5</v>
      </c>
      <c r="N61" s="4" t="s">
        <v>108</v>
      </c>
      <c r="O61" s="4">
        <v>518049.26</v>
      </c>
      <c r="P61" s="4">
        <v>108592.49</v>
      </c>
    </row>
    <row r="62" spans="1:16" x14ac:dyDescent="0.35">
      <c r="A62" s="4" t="s">
        <v>38</v>
      </c>
      <c r="B62" s="5">
        <v>45689</v>
      </c>
      <c r="C62" s="4" t="s">
        <v>17</v>
      </c>
      <c r="D62" s="4" t="s">
        <v>23</v>
      </c>
      <c r="E62" s="4">
        <v>59405.68</v>
      </c>
      <c r="F62" s="4">
        <v>2515</v>
      </c>
      <c r="G62" s="4">
        <v>3.9E-2</v>
      </c>
      <c r="H62" s="4">
        <v>12</v>
      </c>
      <c r="I62" s="4">
        <v>76</v>
      </c>
      <c r="J62" s="4">
        <v>5.1100000000000003</v>
      </c>
      <c r="K62" s="4" t="s">
        <v>108</v>
      </c>
      <c r="L62" s="4">
        <v>0</v>
      </c>
      <c r="M62" s="4">
        <v>3.7</v>
      </c>
      <c r="N62" s="4" t="s">
        <v>108</v>
      </c>
      <c r="O62" s="4">
        <v>500298.48</v>
      </c>
      <c r="P62" s="4">
        <v>73461.320000000007</v>
      </c>
    </row>
    <row r="63" spans="1:16" x14ac:dyDescent="0.35">
      <c r="A63" s="4" t="s">
        <v>38</v>
      </c>
      <c r="B63" s="5">
        <v>45717</v>
      </c>
      <c r="C63" s="4" t="s">
        <v>17</v>
      </c>
      <c r="D63" s="4" t="s">
        <v>23</v>
      </c>
      <c r="E63" s="4">
        <v>118910.48</v>
      </c>
      <c r="F63" s="4">
        <v>4022</v>
      </c>
      <c r="G63" s="4">
        <v>0.13700000000000001</v>
      </c>
      <c r="H63" s="4">
        <v>11</v>
      </c>
      <c r="I63" s="4">
        <v>87.1</v>
      </c>
      <c r="J63" s="4">
        <v>0.2</v>
      </c>
      <c r="K63" s="4" t="s">
        <v>108</v>
      </c>
      <c r="L63" s="4">
        <v>0</v>
      </c>
      <c r="M63" s="4">
        <v>3.1</v>
      </c>
      <c r="N63" s="4" t="s">
        <v>108</v>
      </c>
      <c r="O63" s="4">
        <v>617291.15</v>
      </c>
      <c r="P63" s="4">
        <v>117782</v>
      </c>
    </row>
    <row r="64" spans="1:16" x14ac:dyDescent="0.35">
      <c r="A64" s="4" t="s">
        <v>38</v>
      </c>
      <c r="B64" s="5">
        <v>45748</v>
      </c>
      <c r="C64" s="4" t="s">
        <v>17</v>
      </c>
      <c r="D64" s="4" t="s">
        <v>23</v>
      </c>
      <c r="E64" s="4">
        <v>52952.12</v>
      </c>
      <c r="F64" s="4">
        <v>4377</v>
      </c>
      <c r="G64" s="4">
        <v>9.1999999999999998E-2</v>
      </c>
      <c r="H64" s="4">
        <v>14</v>
      </c>
      <c r="I64" s="4">
        <v>88.6</v>
      </c>
      <c r="J64" s="4">
        <v>13.59</v>
      </c>
      <c r="K64" s="4" t="s">
        <v>108</v>
      </c>
      <c r="L64" s="4">
        <v>0</v>
      </c>
      <c r="M64" s="4">
        <v>3.1</v>
      </c>
      <c r="N64" s="4" t="s">
        <v>108</v>
      </c>
      <c r="O64" s="4">
        <v>553756.43000000005</v>
      </c>
      <c r="P64" s="4">
        <v>86166.77</v>
      </c>
    </row>
    <row r="65" spans="1:16" x14ac:dyDescent="0.35">
      <c r="A65" s="4" t="s">
        <v>39</v>
      </c>
      <c r="B65" s="5">
        <v>45658</v>
      </c>
      <c r="C65" s="4" t="s">
        <v>26</v>
      </c>
      <c r="D65" s="4" t="s">
        <v>20</v>
      </c>
      <c r="E65" s="4">
        <v>74907.98</v>
      </c>
      <c r="F65" s="4">
        <v>5306</v>
      </c>
      <c r="G65" s="4">
        <v>6.2E-2</v>
      </c>
      <c r="H65" s="4">
        <v>16</v>
      </c>
      <c r="I65" s="4">
        <v>95.6</v>
      </c>
      <c r="J65" s="4">
        <v>1.02</v>
      </c>
      <c r="K65" s="4" t="s">
        <v>108</v>
      </c>
      <c r="L65" s="4">
        <v>0</v>
      </c>
      <c r="M65" s="4">
        <v>3.7</v>
      </c>
      <c r="N65" s="4" t="s">
        <v>108</v>
      </c>
      <c r="O65" s="4">
        <v>749559.71</v>
      </c>
      <c r="P65" s="4">
        <v>144522.53</v>
      </c>
    </row>
    <row r="66" spans="1:16" x14ac:dyDescent="0.35">
      <c r="A66" s="4" t="s">
        <v>39</v>
      </c>
      <c r="B66" s="5">
        <v>45689</v>
      </c>
      <c r="C66" s="4" t="s">
        <v>26</v>
      </c>
      <c r="D66" s="4" t="s">
        <v>20</v>
      </c>
      <c r="E66" s="4">
        <v>37284.660000000003</v>
      </c>
      <c r="F66" s="4">
        <v>3928</v>
      </c>
      <c r="G66" s="4">
        <v>7.3999999999999996E-2</v>
      </c>
      <c r="H66" s="4">
        <v>12</v>
      </c>
      <c r="I66" s="4">
        <v>86.5</v>
      </c>
      <c r="J66" s="4">
        <v>1.64</v>
      </c>
      <c r="K66" s="4" t="s">
        <v>108</v>
      </c>
      <c r="L66" s="4">
        <v>0</v>
      </c>
      <c r="M66" s="4">
        <v>3.8</v>
      </c>
      <c r="N66" s="4" t="s">
        <v>108</v>
      </c>
      <c r="O66" s="4">
        <v>615966.48</v>
      </c>
      <c r="P66" s="4">
        <v>91509.38</v>
      </c>
    </row>
    <row r="67" spans="1:16" x14ac:dyDescent="0.35">
      <c r="A67" s="4" t="s">
        <v>39</v>
      </c>
      <c r="B67" s="5">
        <v>45717</v>
      </c>
      <c r="C67" s="4" t="s">
        <v>26</v>
      </c>
      <c r="D67" s="4" t="s">
        <v>20</v>
      </c>
      <c r="E67" s="4">
        <v>50343.19</v>
      </c>
      <c r="F67" s="4">
        <v>3845</v>
      </c>
      <c r="G67" s="4">
        <v>0.113</v>
      </c>
      <c r="H67" s="4">
        <v>9</v>
      </c>
      <c r="I67" s="4">
        <v>88.7</v>
      </c>
      <c r="J67" s="4">
        <v>5.15</v>
      </c>
      <c r="K67" s="4" t="s">
        <v>108</v>
      </c>
      <c r="L67" s="4">
        <v>0</v>
      </c>
      <c r="M67" s="4">
        <v>3.3</v>
      </c>
      <c r="N67" s="4" t="s">
        <v>108</v>
      </c>
      <c r="O67" s="4">
        <v>572011.19999999995</v>
      </c>
      <c r="P67" s="4">
        <v>101409.68</v>
      </c>
    </row>
    <row r="68" spans="1:16" x14ac:dyDescent="0.35">
      <c r="A68" s="4" t="s">
        <v>39</v>
      </c>
      <c r="B68" s="5">
        <v>45748</v>
      </c>
      <c r="C68" s="4" t="s">
        <v>26</v>
      </c>
      <c r="D68" s="4" t="s">
        <v>20</v>
      </c>
      <c r="E68" s="4">
        <v>74954.47</v>
      </c>
      <c r="F68" s="4">
        <v>6620</v>
      </c>
      <c r="G68" s="4">
        <v>5.3999999999999999E-2</v>
      </c>
      <c r="H68" s="4">
        <v>17</v>
      </c>
      <c r="I68" s="4">
        <v>91.1</v>
      </c>
      <c r="J68" s="4">
        <v>1.1100000000000001</v>
      </c>
      <c r="K68" s="4" t="s">
        <v>108</v>
      </c>
      <c r="L68" s="4">
        <v>0</v>
      </c>
      <c r="M68" s="4">
        <v>3.5</v>
      </c>
      <c r="N68" s="4" t="s">
        <v>108</v>
      </c>
      <c r="O68" s="4">
        <v>761860.19</v>
      </c>
      <c r="P68" s="4">
        <v>133279.38</v>
      </c>
    </row>
    <row r="69" spans="1:16" x14ac:dyDescent="0.35">
      <c r="A69" s="4" t="s">
        <v>40</v>
      </c>
      <c r="B69" s="5">
        <v>45658</v>
      </c>
      <c r="C69" s="4" t="s">
        <v>29</v>
      </c>
      <c r="D69" s="4" t="s">
        <v>20</v>
      </c>
      <c r="E69" s="4">
        <v>70040.31</v>
      </c>
      <c r="F69" s="4">
        <v>9175</v>
      </c>
      <c r="G69" s="4">
        <v>0.107</v>
      </c>
      <c r="H69" s="4">
        <v>23</v>
      </c>
      <c r="I69" s="4">
        <v>95.1</v>
      </c>
      <c r="J69" s="4">
        <v>6.08</v>
      </c>
      <c r="K69" s="4" t="s">
        <v>108</v>
      </c>
      <c r="L69" s="4">
        <v>1</v>
      </c>
      <c r="M69" s="4">
        <v>3.4</v>
      </c>
      <c r="N69" s="4" t="s">
        <v>108</v>
      </c>
      <c r="O69" s="4">
        <v>784502.68</v>
      </c>
      <c r="P69" s="4">
        <v>129519.72</v>
      </c>
    </row>
    <row r="70" spans="1:16" x14ac:dyDescent="0.35">
      <c r="A70" s="4" t="s">
        <v>40</v>
      </c>
      <c r="B70" s="5">
        <v>45689</v>
      </c>
      <c r="C70" s="4" t="s">
        <v>29</v>
      </c>
      <c r="D70" s="4" t="s">
        <v>20</v>
      </c>
      <c r="E70" s="4">
        <v>51148.69</v>
      </c>
      <c r="F70" s="4">
        <v>7940</v>
      </c>
      <c r="G70" s="4">
        <v>0.156</v>
      </c>
      <c r="H70" s="4">
        <v>18</v>
      </c>
      <c r="I70" s="4">
        <v>93.3</v>
      </c>
      <c r="J70" s="4">
        <v>10.91</v>
      </c>
      <c r="K70" s="4" t="s">
        <v>108</v>
      </c>
      <c r="L70" s="4">
        <v>0</v>
      </c>
      <c r="M70" s="4">
        <v>3.6</v>
      </c>
      <c r="N70" s="4" t="s">
        <v>108</v>
      </c>
      <c r="O70" s="4">
        <v>717141.55</v>
      </c>
      <c r="P70" s="4">
        <v>134013.60999999999</v>
      </c>
    </row>
    <row r="71" spans="1:16" x14ac:dyDescent="0.35">
      <c r="A71" s="4" t="s">
        <v>40</v>
      </c>
      <c r="B71" s="5">
        <v>45717</v>
      </c>
      <c r="C71" s="4" t="s">
        <v>29</v>
      </c>
      <c r="D71" s="4" t="s">
        <v>20</v>
      </c>
      <c r="E71" s="4">
        <v>79346.100000000006</v>
      </c>
      <c r="F71" s="4">
        <v>9628</v>
      </c>
      <c r="G71" s="4">
        <v>0.10199999999999999</v>
      </c>
      <c r="H71" s="4">
        <v>20</v>
      </c>
      <c r="I71" s="4">
        <v>99</v>
      </c>
      <c r="J71" s="4">
        <v>19.010000000000002</v>
      </c>
      <c r="K71" s="4" t="s">
        <v>108</v>
      </c>
      <c r="L71" s="4">
        <v>1</v>
      </c>
      <c r="M71" s="4">
        <v>3.2</v>
      </c>
      <c r="N71" s="4" t="s">
        <v>108</v>
      </c>
      <c r="O71" s="4">
        <v>685379.08</v>
      </c>
      <c r="P71" s="4">
        <v>106898.82</v>
      </c>
    </row>
    <row r="72" spans="1:16" x14ac:dyDescent="0.35">
      <c r="A72" s="4" t="s">
        <v>40</v>
      </c>
      <c r="B72" s="5">
        <v>45748</v>
      </c>
      <c r="C72" s="4" t="s">
        <v>29</v>
      </c>
      <c r="D72" s="4" t="s">
        <v>20</v>
      </c>
      <c r="E72" s="4">
        <v>42018.400000000001</v>
      </c>
      <c r="F72" s="4">
        <v>8296</v>
      </c>
      <c r="G72" s="4">
        <v>0.115</v>
      </c>
      <c r="H72" s="4">
        <v>17</v>
      </c>
      <c r="I72" s="4">
        <v>91.8</v>
      </c>
      <c r="J72" s="4">
        <v>0.77</v>
      </c>
      <c r="K72" s="4" t="s">
        <v>108</v>
      </c>
      <c r="L72" s="4">
        <v>0</v>
      </c>
      <c r="M72" s="4">
        <v>3.4</v>
      </c>
      <c r="N72" s="4" t="s">
        <v>108</v>
      </c>
      <c r="O72" s="4">
        <v>740496.65</v>
      </c>
      <c r="P72" s="4">
        <v>128020.9</v>
      </c>
    </row>
    <row r="73" spans="1:16" x14ac:dyDescent="0.35">
      <c r="A73" s="4" t="s">
        <v>41</v>
      </c>
      <c r="B73" s="5">
        <v>45658</v>
      </c>
      <c r="C73" s="4" t="s">
        <v>17</v>
      </c>
      <c r="D73" s="4" t="s">
        <v>20</v>
      </c>
      <c r="E73" s="4">
        <v>70937.240000000005</v>
      </c>
      <c r="F73" s="4">
        <v>3595</v>
      </c>
      <c r="G73" s="4">
        <v>0.14099999999999999</v>
      </c>
      <c r="H73" s="4">
        <v>11</v>
      </c>
      <c r="I73" s="4">
        <v>88.9</v>
      </c>
      <c r="J73" s="4">
        <v>2.83</v>
      </c>
      <c r="K73" s="4" t="s">
        <v>108</v>
      </c>
      <c r="L73" s="4">
        <v>1</v>
      </c>
      <c r="M73" s="4">
        <v>3.3</v>
      </c>
      <c r="N73" s="4" t="s">
        <v>108</v>
      </c>
      <c r="O73" s="4">
        <v>661927.14</v>
      </c>
      <c r="P73" s="4">
        <v>79218.570000000007</v>
      </c>
    </row>
    <row r="74" spans="1:16" x14ac:dyDescent="0.35">
      <c r="A74" s="4" t="s">
        <v>41</v>
      </c>
      <c r="B74" s="5">
        <v>45689</v>
      </c>
      <c r="C74" s="4" t="s">
        <v>17</v>
      </c>
      <c r="D74" s="4" t="s">
        <v>20</v>
      </c>
      <c r="E74" s="4">
        <v>36813.449999999997</v>
      </c>
      <c r="F74" s="4">
        <v>2834</v>
      </c>
      <c r="G74" s="4">
        <v>0.191</v>
      </c>
      <c r="H74" s="4">
        <v>11</v>
      </c>
      <c r="I74" s="4">
        <v>81.8</v>
      </c>
      <c r="J74" s="4">
        <v>2.33</v>
      </c>
      <c r="K74" s="4" t="s">
        <v>108</v>
      </c>
      <c r="L74" s="4">
        <v>0</v>
      </c>
      <c r="M74" s="4">
        <v>3.3</v>
      </c>
      <c r="N74" s="4" t="s">
        <v>108</v>
      </c>
      <c r="O74" s="4">
        <v>479050.5</v>
      </c>
      <c r="P74" s="4">
        <v>53651.11</v>
      </c>
    </row>
    <row r="75" spans="1:16" x14ac:dyDescent="0.35">
      <c r="A75" s="4" t="s">
        <v>41</v>
      </c>
      <c r="B75" s="5">
        <v>45717</v>
      </c>
      <c r="C75" s="4" t="s">
        <v>17</v>
      </c>
      <c r="D75" s="4" t="s">
        <v>20</v>
      </c>
      <c r="E75" s="4">
        <v>60571.82</v>
      </c>
      <c r="F75" s="4">
        <v>3193</v>
      </c>
      <c r="G75" s="4">
        <v>0.19700000000000001</v>
      </c>
      <c r="H75" s="4">
        <v>7</v>
      </c>
      <c r="I75" s="4">
        <v>99</v>
      </c>
      <c r="J75" s="4">
        <v>1.43</v>
      </c>
      <c r="K75" s="4" t="s">
        <v>108</v>
      </c>
      <c r="L75" s="4">
        <v>0</v>
      </c>
      <c r="M75" s="4">
        <v>3.2</v>
      </c>
      <c r="N75" s="4" t="s">
        <v>108</v>
      </c>
      <c r="O75" s="4">
        <v>605023.87</v>
      </c>
      <c r="P75" s="4">
        <v>98545.81</v>
      </c>
    </row>
    <row r="76" spans="1:16" x14ac:dyDescent="0.35">
      <c r="A76" s="4" t="s">
        <v>41</v>
      </c>
      <c r="B76" s="5">
        <v>45748</v>
      </c>
      <c r="C76" s="4" t="s">
        <v>17</v>
      </c>
      <c r="D76" s="4" t="s">
        <v>20</v>
      </c>
      <c r="E76" s="4">
        <v>55081.16</v>
      </c>
      <c r="F76" s="4">
        <v>5485</v>
      </c>
      <c r="G76" s="4">
        <v>3.5999999999999997E-2</v>
      </c>
      <c r="H76" s="4">
        <v>12</v>
      </c>
      <c r="I76" s="4">
        <v>88</v>
      </c>
      <c r="J76" s="4">
        <v>3.3650000000000002</v>
      </c>
      <c r="K76" s="4" t="s">
        <v>109</v>
      </c>
      <c r="L76" s="4">
        <v>0</v>
      </c>
      <c r="M76" s="4">
        <v>3.5</v>
      </c>
      <c r="N76" s="4" t="s">
        <v>108</v>
      </c>
      <c r="O76" s="4">
        <v>674774.09</v>
      </c>
      <c r="P76" s="4">
        <v>141917.59</v>
      </c>
    </row>
    <row r="77" spans="1:16" x14ac:dyDescent="0.35">
      <c r="A77" s="4" t="s">
        <v>42</v>
      </c>
      <c r="B77" s="5">
        <v>45658</v>
      </c>
      <c r="C77" s="4" t="s">
        <v>17</v>
      </c>
      <c r="D77" s="4" t="s">
        <v>18</v>
      </c>
      <c r="E77" s="4">
        <v>46201.46</v>
      </c>
      <c r="F77" s="4">
        <v>5918</v>
      </c>
      <c r="G77" s="4">
        <v>0.27700000000000002</v>
      </c>
      <c r="H77" s="4">
        <v>13</v>
      </c>
      <c r="I77" s="4">
        <v>78.8</v>
      </c>
      <c r="J77" s="4">
        <v>4.91</v>
      </c>
      <c r="K77" s="4" t="s">
        <v>108</v>
      </c>
      <c r="L77" s="4">
        <v>0</v>
      </c>
      <c r="M77" s="4">
        <v>4.5</v>
      </c>
      <c r="N77" s="4" t="s">
        <v>108</v>
      </c>
      <c r="O77" s="4">
        <v>616069.41</v>
      </c>
      <c r="P77" s="4">
        <v>54453.99</v>
      </c>
    </row>
    <row r="78" spans="1:16" x14ac:dyDescent="0.35">
      <c r="A78" s="4" t="s">
        <v>42</v>
      </c>
      <c r="B78" s="5">
        <v>45689</v>
      </c>
      <c r="C78" s="4" t="s">
        <v>17</v>
      </c>
      <c r="D78" s="4" t="s">
        <v>18</v>
      </c>
      <c r="E78" s="4">
        <v>53762.92</v>
      </c>
      <c r="F78" s="4">
        <v>6821</v>
      </c>
      <c r="G78" s="4">
        <v>6.6000000000000003E-2</v>
      </c>
      <c r="H78" s="4">
        <v>19</v>
      </c>
      <c r="I78" s="4">
        <v>94.6</v>
      </c>
      <c r="J78" s="4">
        <v>7.03</v>
      </c>
      <c r="K78" s="4" t="s">
        <v>108</v>
      </c>
      <c r="L78" s="4">
        <v>0</v>
      </c>
      <c r="M78" s="4">
        <v>4.4000000000000004</v>
      </c>
      <c r="N78" s="4" t="s">
        <v>108</v>
      </c>
      <c r="O78" s="4">
        <v>630829.93999999994</v>
      </c>
      <c r="P78" s="4">
        <v>117090.02</v>
      </c>
    </row>
    <row r="79" spans="1:16" x14ac:dyDescent="0.35">
      <c r="A79" s="4" t="s">
        <v>42</v>
      </c>
      <c r="B79" s="5">
        <v>45717</v>
      </c>
      <c r="C79" s="4" t="s">
        <v>17</v>
      </c>
      <c r="D79" s="4" t="s">
        <v>18</v>
      </c>
      <c r="E79" s="4">
        <v>70144.78</v>
      </c>
      <c r="F79" s="4">
        <v>6806</v>
      </c>
      <c r="G79" s="4">
        <v>0.17799999999999999</v>
      </c>
      <c r="H79" s="4">
        <v>20</v>
      </c>
      <c r="I79" s="4">
        <v>93.1</v>
      </c>
      <c r="J79" s="4">
        <v>0.28000000000000003</v>
      </c>
      <c r="K79" s="4" t="s">
        <v>108</v>
      </c>
      <c r="L79" s="4">
        <v>1</v>
      </c>
      <c r="M79" s="4">
        <v>4.3</v>
      </c>
      <c r="N79" s="4" t="s">
        <v>108</v>
      </c>
      <c r="O79" s="4">
        <v>788087.68</v>
      </c>
      <c r="P79" s="4">
        <v>116803.42</v>
      </c>
    </row>
    <row r="80" spans="1:16" x14ac:dyDescent="0.35">
      <c r="A80" s="4" t="s">
        <v>42</v>
      </c>
      <c r="B80" s="5">
        <v>45748</v>
      </c>
      <c r="C80" s="4" t="s">
        <v>17</v>
      </c>
      <c r="D80" s="4" t="s">
        <v>18</v>
      </c>
      <c r="E80" s="4">
        <v>58749.63</v>
      </c>
      <c r="F80" s="4">
        <v>8252</v>
      </c>
      <c r="G80" s="4">
        <v>0.20300000000000001</v>
      </c>
      <c r="H80" s="4">
        <v>20</v>
      </c>
      <c r="I80" s="4">
        <v>85.2</v>
      </c>
      <c r="J80" s="4">
        <v>3.61</v>
      </c>
      <c r="K80" s="4" t="s">
        <v>108</v>
      </c>
      <c r="L80" s="4">
        <v>0</v>
      </c>
      <c r="M80" s="4">
        <v>4.5</v>
      </c>
      <c r="N80" s="4" t="s">
        <v>108</v>
      </c>
      <c r="O80" s="4">
        <v>680840.36</v>
      </c>
      <c r="P80" s="4">
        <v>68007.679999999993</v>
      </c>
    </row>
    <row r="81" spans="1:16" x14ac:dyDescent="0.35">
      <c r="A81" s="4" t="s">
        <v>43</v>
      </c>
      <c r="B81" s="5">
        <v>45658</v>
      </c>
      <c r="C81" s="4" t="s">
        <v>26</v>
      </c>
      <c r="D81" s="4" t="s">
        <v>20</v>
      </c>
      <c r="E81" s="4">
        <v>56973.18</v>
      </c>
      <c r="F81" s="4">
        <v>6662</v>
      </c>
      <c r="G81" s="4">
        <v>0.1</v>
      </c>
      <c r="H81" s="4">
        <v>15</v>
      </c>
      <c r="I81" s="4">
        <v>77.7</v>
      </c>
      <c r="J81" s="4">
        <v>7.52</v>
      </c>
      <c r="K81" s="4" t="s">
        <v>108</v>
      </c>
      <c r="L81" s="4">
        <v>1</v>
      </c>
      <c r="M81" s="4">
        <v>3.2</v>
      </c>
      <c r="N81" s="4" t="s">
        <v>108</v>
      </c>
      <c r="O81" s="4">
        <v>643657.47</v>
      </c>
      <c r="P81" s="4">
        <v>87022.45</v>
      </c>
    </row>
    <row r="82" spans="1:16" x14ac:dyDescent="0.35">
      <c r="A82" s="4" t="s">
        <v>43</v>
      </c>
      <c r="B82" s="5">
        <v>45689</v>
      </c>
      <c r="C82" s="4" t="s">
        <v>26</v>
      </c>
      <c r="D82" s="4" t="s">
        <v>20</v>
      </c>
      <c r="E82" s="4">
        <v>54872.82</v>
      </c>
      <c r="F82" s="4">
        <v>5962</v>
      </c>
      <c r="G82" s="4">
        <v>6.4000000000000001E-2</v>
      </c>
      <c r="H82" s="4">
        <v>12</v>
      </c>
      <c r="I82" s="4">
        <v>85.4</v>
      </c>
      <c r="J82" s="4">
        <v>2.58</v>
      </c>
      <c r="K82" s="4" t="s">
        <v>108</v>
      </c>
      <c r="L82" s="4">
        <v>0</v>
      </c>
      <c r="M82" s="4">
        <v>2.9</v>
      </c>
      <c r="N82" s="4" t="s">
        <v>108</v>
      </c>
      <c r="O82" s="4">
        <v>691112.6</v>
      </c>
      <c r="P82" s="4">
        <v>109212.83</v>
      </c>
    </row>
    <row r="83" spans="1:16" x14ac:dyDescent="0.35">
      <c r="A83" s="4" t="s">
        <v>43</v>
      </c>
      <c r="B83" s="5">
        <v>45717</v>
      </c>
      <c r="C83" s="4" t="s">
        <v>26</v>
      </c>
      <c r="D83" s="4" t="s">
        <v>20</v>
      </c>
      <c r="E83" s="4">
        <v>80562.81</v>
      </c>
      <c r="F83" s="4">
        <v>7470</v>
      </c>
      <c r="G83" s="4">
        <v>0.17199999999999999</v>
      </c>
      <c r="H83" s="4">
        <v>16</v>
      </c>
      <c r="I83" s="4">
        <v>83.5</v>
      </c>
      <c r="J83" s="4">
        <v>2.29</v>
      </c>
      <c r="K83" s="4" t="s">
        <v>108</v>
      </c>
      <c r="L83" s="4">
        <v>0</v>
      </c>
      <c r="M83" s="4">
        <v>3.3</v>
      </c>
      <c r="N83" s="4" t="s">
        <v>108</v>
      </c>
      <c r="O83" s="4">
        <v>776922.17</v>
      </c>
      <c r="P83" s="4">
        <v>150701.93</v>
      </c>
    </row>
    <row r="84" spans="1:16" x14ac:dyDescent="0.35">
      <c r="A84" s="4" t="s">
        <v>43</v>
      </c>
      <c r="B84" s="5">
        <v>45748</v>
      </c>
      <c r="C84" s="4" t="s">
        <v>26</v>
      </c>
      <c r="D84" s="4" t="s">
        <v>20</v>
      </c>
      <c r="E84" s="4">
        <v>77999.899999999994</v>
      </c>
      <c r="F84" s="4">
        <v>5974</v>
      </c>
      <c r="G84" s="4">
        <v>0.252</v>
      </c>
      <c r="H84" s="4">
        <v>14</v>
      </c>
      <c r="I84" s="4">
        <v>81.3</v>
      </c>
      <c r="J84" s="4">
        <v>2.39</v>
      </c>
      <c r="K84" s="4" t="s">
        <v>108</v>
      </c>
      <c r="L84" s="4">
        <v>0</v>
      </c>
      <c r="M84" s="4">
        <v>3.2</v>
      </c>
      <c r="N84" s="4" t="s">
        <v>108</v>
      </c>
      <c r="O84" s="4">
        <v>636561.34</v>
      </c>
      <c r="P84" s="4">
        <v>93861.06</v>
      </c>
    </row>
    <row r="85" spans="1:16" x14ac:dyDescent="0.35">
      <c r="A85" s="4" t="s">
        <v>44</v>
      </c>
      <c r="B85" s="5">
        <v>45658</v>
      </c>
      <c r="C85" s="4" t="s">
        <v>29</v>
      </c>
      <c r="D85" s="4" t="s">
        <v>30</v>
      </c>
      <c r="E85" s="4">
        <v>60881.01</v>
      </c>
      <c r="F85" s="4">
        <v>5410</v>
      </c>
      <c r="G85" s="4">
        <v>0.17899999999999999</v>
      </c>
      <c r="H85" s="4">
        <v>15</v>
      </c>
      <c r="I85" s="4">
        <v>83.9</v>
      </c>
      <c r="J85" s="4">
        <v>5.24</v>
      </c>
      <c r="K85" s="4" t="s">
        <v>108</v>
      </c>
      <c r="L85" s="4">
        <v>0</v>
      </c>
      <c r="M85" s="4">
        <v>4.5999999999999996</v>
      </c>
      <c r="N85" s="4" t="s">
        <v>108</v>
      </c>
      <c r="O85" s="4">
        <v>621369.57999999996</v>
      </c>
      <c r="P85" s="4">
        <v>85493.64</v>
      </c>
    </row>
    <row r="86" spans="1:16" x14ac:dyDescent="0.35">
      <c r="A86" s="4" t="s">
        <v>44</v>
      </c>
      <c r="B86" s="5">
        <v>45689</v>
      </c>
      <c r="C86" s="4" t="s">
        <v>29</v>
      </c>
      <c r="D86" s="4" t="s">
        <v>30</v>
      </c>
      <c r="E86" s="4">
        <v>60628.38</v>
      </c>
      <c r="F86" s="4">
        <v>4451</v>
      </c>
      <c r="G86" s="4">
        <v>9.5000000000000001E-2</v>
      </c>
      <c r="H86" s="4">
        <v>10</v>
      </c>
      <c r="I86" s="4">
        <v>89.6</v>
      </c>
      <c r="J86" s="4">
        <v>3.17</v>
      </c>
      <c r="K86" s="4" t="s">
        <v>108</v>
      </c>
      <c r="L86" s="4">
        <v>0</v>
      </c>
      <c r="M86" s="4">
        <v>4.5999999999999996</v>
      </c>
      <c r="N86" s="4" t="s">
        <v>108</v>
      </c>
      <c r="O86" s="4">
        <v>682208.01</v>
      </c>
      <c r="P86" s="4">
        <v>110318.84</v>
      </c>
    </row>
    <row r="87" spans="1:16" x14ac:dyDescent="0.35">
      <c r="A87" s="4" t="s">
        <v>44</v>
      </c>
      <c r="B87" s="5">
        <v>45717</v>
      </c>
      <c r="C87" s="4" t="s">
        <v>29</v>
      </c>
      <c r="D87" s="4" t="s">
        <v>30</v>
      </c>
      <c r="E87" s="4">
        <v>72731.14</v>
      </c>
      <c r="F87" s="4">
        <v>4644</v>
      </c>
      <c r="G87" s="4">
        <v>8.4000000000000005E-2</v>
      </c>
      <c r="H87" s="4">
        <v>15</v>
      </c>
      <c r="I87" s="4">
        <v>87.1</v>
      </c>
      <c r="J87" s="4">
        <v>2.66</v>
      </c>
      <c r="K87" s="4" t="s">
        <v>108</v>
      </c>
      <c r="L87" s="4">
        <v>0</v>
      </c>
      <c r="M87" s="4">
        <v>4.5999999999999996</v>
      </c>
      <c r="N87" s="4" t="s">
        <v>108</v>
      </c>
      <c r="O87" s="4">
        <v>727241.86</v>
      </c>
      <c r="P87" s="4">
        <v>155810.29999999999</v>
      </c>
    </row>
    <row r="88" spans="1:16" x14ac:dyDescent="0.35">
      <c r="A88" s="4" t="s">
        <v>44</v>
      </c>
      <c r="B88" s="5">
        <v>45748</v>
      </c>
      <c r="C88" s="4" t="s">
        <v>29</v>
      </c>
      <c r="D88" s="4" t="s">
        <v>30</v>
      </c>
      <c r="E88" s="4">
        <v>36475.71</v>
      </c>
      <c r="F88" s="4">
        <v>3559</v>
      </c>
      <c r="G88" s="4">
        <v>0.03</v>
      </c>
      <c r="H88" s="4">
        <v>8</v>
      </c>
      <c r="I88" s="4">
        <v>83.6</v>
      </c>
      <c r="J88" s="4">
        <v>1.41</v>
      </c>
      <c r="K88" s="4" t="s">
        <v>108</v>
      </c>
      <c r="L88" s="4">
        <v>0</v>
      </c>
      <c r="M88" s="4">
        <v>4.2</v>
      </c>
      <c r="N88" s="4" t="s">
        <v>108</v>
      </c>
      <c r="O88" s="4">
        <v>569100.78</v>
      </c>
      <c r="P88" s="4">
        <v>104808.78</v>
      </c>
    </row>
    <row r="89" spans="1:16" x14ac:dyDescent="0.35">
      <c r="A89" s="4" t="s">
        <v>45</v>
      </c>
      <c r="B89" s="5">
        <v>45658</v>
      </c>
      <c r="C89" s="4" t="s">
        <v>29</v>
      </c>
      <c r="D89" s="4" t="s">
        <v>20</v>
      </c>
      <c r="E89" s="4">
        <v>55388.11</v>
      </c>
      <c r="F89" s="4">
        <v>3091</v>
      </c>
      <c r="G89" s="4">
        <v>0.108</v>
      </c>
      <c r="H89" s="4">
        <v>7</v>
      </c>
      <c r="I89" s="4">
        <v>85.4</v>
      </c>
      <c r="J89" s="4">
        <v>7.34</v>
      </c>
      <c r="K89" s="4" t="s">
        <v>108</v>
      </c>
      <c r="L89" s="4">
        <v>0</v>
      </c>
      <c r="M89" s="4">
        <v>4.9000000000000004</v>
      </c>
      <c r="N89" s="4" t="s">
        <v>108</v>
      </c>
      <c r="O89" s="4">
        <v>574436.29</v>
      </c>
      <c r="P89" s="4">
        <v>80271.990000000005</v>
      </c>
    </row>
    <row r="90" spans="1:16" x14ac:dyDescent="0.35">
      <c r="A90" s="4" t="s">
        <v>45</v>
      </c>
      <c r="B90" s="5">
        <v>45689</v>
      </c>
      <c r="C90" s="4" t="s">
        <v>29</v>
      </c>
      <c r="D90" s="4" t="s">
        <v>20</v>
      </c>
      <c r="E90" s="4">
        <v>88443.77</v>
      </c>
      <c r="F90" s="4">
        <v>4004</v>
      </c>
      <c r="G90" s="4">
        <v>0.20599999999999999</v>
      </c>
      <c r="H90" s="4">
        <v>11</v>
      </c>
      <c r="I90" s="4">
        <v>91.9</v>
      </c>
      <c r="J90" s="4">
        <v>5.95</v>
      </c>
      <c r="K90" s="4" t="s">
        <v>108</v>
      </c>
      <c r="L90" s="4">
        <v>0</v>
      </c>
      <c r="M90" s="4">
        <v>3.9</v>
      </c>
      <c r="N90" s="4" t="s">
        <v>109</v>
      </c>
      <c r="O90" s="4">
        <v>611766.72</v>
      </c>
      <c r="P90" s="4">
        <v>88275.61</v>
      </c>
    </row>
    <row r="91" spans="1:16" x14ac:dyDescent="0.35">
      <c r="A91" s="4" t="s">
        <v>45</v>
      </c>
      <c r="B91" s="5">
        <v>45717</v>
      </c>
      <c r="C91" s="4" t="s">
        <v>29</v>
      </c>
      <c r="D91" s="4" t="s">
        <v>20</v>
      </c>
      <c r="E91" s="4">
        <v>78231.91</v>
      </c>
      <c r="F91" s="4">
        <v>3788</v>
      </c>
      <c r="G91" s="4">
        <v>5.8999999999999997E-2</v>
      </c>
      <c r="H91" s="4">
        <v>11</v>
      </c>
      <c r="I91" s="4">
        <v>88.5</v>
      </c>
      <c r="J91" s="4">
        <v>15.51</v>
      </c>
      <c r="K91" s="4" t="s">
        <v>108</v>
      </c>
      <c r="L91" s="4">
        <v>0</v>
      </c>
      <c r="M91" s="4">
        <v>4.3</v>
      </c>
      <c r="N91" s="4" t="s">
        <v>108</v>
      </c>
      <c r="O91" s="4">
        <v>614596.31999999995</v>
      </c>
      <c r="P91" s="4">
        <v>131199.41</v>
      </c>
    </row>
    <row r="92" spans="1:16" x14ac:dyDescent="0.35">
      <c r="A92" s="4" t="s">
        <v>45</v>
      </c>
      <c r="B92" s="5">
        <v>45748</v>
      </c>
      <c r="C92" s="4" t="s">
        <v>29</v>
      </c>
      <c r="D92" s="4" t="s">
        <v>20</v>
      </c>
      <c r="E92" s="4">
        <v>18996.32</v>
      </c>
      <c r="F92" s="4">
        <v>1260</v>
      </c>
      <c r="G92" s="4">
        <v>0.14499999999999999</v>
      </c>
      <c r="H92" s="4">
        <v>9</v>
      </c>
      <c r="I92" s="4">
        <v>86.4</v>
      </c>
      <c r="J92" s="4">
        <v>4.3099999999999996</v>
      </c>
      <c r="K92" s="4" t="s">
        <v>108</v>
      </c>
      <c r="L92" s="4">
        <v>0</v>
      </c>
      <c r="M92" s="4">
        <v>4.5999999999999996</v>
      </c>
      <c r="N92" s="4" t="s">
        <v>108</v>
      </c>
      <c r="O92" s="4">
        <v>450711.92</v>
      </c>
      <c r="P92" s="4">
        <v>90043.76</v>
      </c>
    </row>
    <row r="93" spans="1:16" x14ac:dyDescent="0.35">
      <c r="A93" s="4" t="s">
        <v>46</v>
      </c>
      <c r="B93" s="5">
        <v>45658</v>
      </c>
      <c r="C93" s="4" t="s">
        <v>26</v>
      </c>
      <c r="D93" s="4" t="s">
        <v>30</v>
      </c>
      <c r="E93" s="4">
        <v>50517.94</v>
      </c>
      <c r="F93" s="4">
        <v>7024</v>
      </c>
      <c r="G93" s="4">
        <v>2.9000000000000001E-2</v>
      </c>
      <c r="H93" s="4">
        <v>18</v>
      </c>
      <c r="I93" s="4">
        <v>79.2</v>
      </c>
      <c r="J93" s="4">
        <v>6.61</v>
      </c>
      <c r="K93" s="4" t="s">
        <v>108</v>
      </c>
      <c r="L93" s="4">
        <v>1</v>
      </c>
      <c r="M93" s="4">
        <v>4.0999999999999996</v>
      </c>
      <c r="N93" s="4" t="s">
        <v>108</v>
      </c>
      <c r="O93" s="4">
        <v>711213.46</v>
      </c>
      <c r="P93" s="4">
        <v>105863.26</v>
      </c>
    </row>
    <row r="94" spans="1:16" x14ac:dyDescent="0.35">
      <c r="A94" s="4" t="s">
        <v>46</v>
      </c>
      <c r="B94" s="5">
        <v>45689</v>
      </c>
      <c r="C94" s="4" t="s">
        <v>26</v>
      </c>
      <c r="D94" s="4" t="s">
        <v>30</v>
      </c>
      <c r="E94" s="4">
        <v>141540.29</v>
      </c>
      <c r="F94" s="4">
        <v>5400</v>
      </c>
      <c r="G94" s="4">
        <v>1.2999999999999999E-2</v>
      </c>
      <c r="H94" s="4">
        <v>12</v>
      </c>
      <c r="I94" s="4">
        <v>87</v>
      </c>
      <c r="J94" s="4">
        <v>4.26</v>
      </c>
      <c r="K94" s="4" t="s">
        <v>108</v>
      </c>
      <c r="L94" s="4">
        <v>0</v>
      </c>
      <c r="M94" s="4">
        <v>4.5</v>
      </c>
      <c r="N94" s="4" t="s">
        <v>108</v>
      </c>
      <c r="O94" s="4">
        <v>627171.9</v>
      </c>
      <c r="P94" s="4">
        <v>105772.75</v>
      </c>
    </row>
    <row r="95" spans="1:16" x14ac:dyDescent="0.35">
      <c r="A95" s="4" t="s">
        <v>46</v>
      </c>
      <c r="B95" s="5">
        <v>45717</v>
      </c>
      <c r="C95" s="4" t="s">
        <v>26</v>
      </c>
      <c r="D95" s="4" t="s">
        <v>30</v>
      </c>
      <c r="E95" s="4">
        <v>82116.19</v>
      </c>
      <c r="F95" s="4">
        <v>5988</v>
      </c>
      <c r="G95" s="4">
        <v>0.04</v>
      </c>
      <c r="H95" s="4">
        <v>17</v>
      </c>
      <c r="I95" s="4">
        <v>91.8</v>
      </c>
      <c r="J95" s="4">
        <v>5.75</v>
      </c>
      <c r="K95" s="4" t="s">
        <v>108</v>
      </c>
      <c r="L95" s="4">
        <v>0</v>
      </c>
      <c r="M95" s="4">
        <v>4.7</v>
      </c>
      <c r="N95" s="4" t="s">
        <v>108</v>
      </c>
      <c r="O95" s="4">
        <v>739852.58</v>
      </c>
      <c r="P95" s="4">
        <v>129386.43</v>
      </c>
    </row>
    <row r="96" spans="1:16" x14ac:dyDescent="0.35">
      <c r="A96" s="4" t="s">
        <v>46</v>
      </c>
      <c r="B96" s="5">
        <v>45748</v>
      </c>
      <c r="C96" s="4" t="s">
        <v>26</v>
      </c>
      <c r="D96" s="4" t="s">
        <v>30</v>
      </c>
      <c r="E96" s="4">
        <v>31207.51</v>
      </c>
      <c r="F96" s="4">
        <v>3701</v>
      </c>
      <c r="G96" s="4">
        <v>4.2999999999999997E-2</v>
      </c>
      <c r="H96" s="4">
        <v>11</v>
      </c>
      <c r="I96" s="4">
        <v>84.7</v>
      </c>
      <c r="J96" s="4">
        <v>0.33</v>
      </c>
      <c r="K96" s="4" t="s">
        <v>108</v>
      </c>
      <c r="L96" s="4">
        <v>0</v>
      </c>
      <c r="M96" s="4">
        <v>4.3</v>
      </c>
      <c r="N96" s="4" t="s">
        <v>108</v>
      </c>
      <c r="O96" s="4">
        <v>586307.22</v>
      </c>
      <c r="P96" s="4">
        <v>73927.850000000006</v>
      </c>
    </row>
    <row r="97" spans="1:16" x14ac:dyDescent="0.35">
      <c r="A97" s="4" t="s">
        <v>47</v>
      </c>
      <c r="B97" s="5">
        <v>45658</v>
      </c>
      <c r="C97" s="4" t="s">
        <v>29</v>
      </c>
      <c r="D97" s="4" t="s">
        <v>18</v>
      </c>
      <c r="E97" s="4">
        <v>38966.589999999997</v>
      </c>
      <c r="F97" s="4">
        <v>4509</v>
      </c>
      <c r="G97" s="4">
        <v>0.19400000000000001</v>
      </c>
      <c r="H97" s="4">
        <v>14</v>
      </c>
      <c r="I97" s="4">
        <v>91.1</v>
      </c>
      <c r="J97" s="4">
        <v>2.92</v>
      </c>
      <c r="K97" s="4" t="s">
        <v>108</v>
      </c>
      <c r="L97" s="4">
        <v>0</v>
      </c>
      <c r="M97" s="4">
        <v>4.5999999999999996</v>
      </c>
      <c r="N97" s="4" t="s">
        <v>108</v>
      </c>
      <c r="O97" s="4">
        <v>585937.48</v>
      </c>
      <c r="P97" s="4">
        <v>82624.2</v>
      </c>
    </row>
    <row r="98" spans="1:16" x14ac:dyDescent="0.35">
      <c r="A98" s="4" t="s">
        <v>47</v>
      </c>
      <c r="B98" s="5">
        <v>45689</v>
      </c>
      <c r="C98" s="4" t="s">
        <v>29</v>
      </c>
      <c r="D98" s="4" t="s">
        <v>18</v>
      </c>
      <c r="E98" s="4">
        <v>67439.3</v>
      </c>
      <c r="F98" s="4">
        <v>6477</v>
      </c>
      <c r="G98" s="4">
        <v>0</v>
      </c>
      <c r="H98" s="4">
        <v>16</v>
      </c>
      <c r="I98" s="4">
        <v>90.9</v>
      </c>
      <c r="J98" s="4">
        <v>1.64</v>
      </c>
      <c r="K98" s="4" t="s">
        <v>108</v>
      </c>
      <c r="L98" s="4">
        <v>0</v>
      </c>
      <c r="M98" s="4">
        <v>4.5</v>
      </c>
      <c r="N98" s="4" t="s">
        <v>108</v>
      </c>
      <c r="O98" s="4">
        <v>753473.55</v>
      </c>
      <c r="P98" s="4">
        <v>151527.22</v>
      </c>
    </row>
    <row r="99" spans="1:16" x14ac:dyDescent="0.35">
      <c r="A99" s="4" t="s">
        <v>47</v>
      </c>
      <c r="B99" s="5">
        <v>45717</v>
      </c>
      <c r="C99" s="4" t="s">
        <v>29</v>
      </c>
      <c r="D99" s="4" t="s">
        <v>18</v>
      </c>
      <c r="E99" s="4">
        <v>86421.88</v>
      </c>
      <c r="F99" s="4">
        <v>7970</v>
      </c>
      <c r="G99" s="4">
        <v>7.2999999999999995E-2</v>
      </c>
      <c r="H99" s="4">
        <v>17</v>
      </c>
      <c r="I99" s="4">
        <v>91.3</v>
      </c>
      <c r="J99" s="4">
        <v>0.8</v>
      </c>
      <c r="K99" s="4" t="s">
        <v>108</v>
      </c>
      <c r="L99" s="4">
        <v>0</v>
      </c>
      <c r="M99" s="4">
        <v>5</v>
      </c>
      <c r="N99" s="4" t="s">
        <v>108</v>
      </c>
      <c r="O99" s="4">
        <v>838250.32</v>
      </c>
      <c r="P99" s="4">
        <v>122939.34</v>
      </c>
    </row>
    <row r="100" spans="1:16" x14ac:dyDescent="0.35">
      <c r="A100" s="4" t="s">
        <v>47</v>
      </c>
      <c r="B100" s="5">
        <v>45748</v>
      </c>
      <c r="C100" s="4" t="s">
        <v>29</v>
      </c>
      <c r="D100" s="4" t="s">
        <v>18</v>
      </c>
      <c r="E100" s="4">
        <v>9534.65</v>
      </c>
      <c r="F100" s="4">
        <v>6057</v>
      </c>
      <c r="G100" s="4">
        <v>7.3999999999999996E-2</v>
      </c>
      <c r="H100" s="4">
        <v>15</v>
      </c>
      <c r="I100" s="4">
        <v>94.1</v>
      </c>
      <c r="J100" s="4">
        <v>5.79</v>
      </c>
      <c r="K100" s="4" t="s">
        <v>108</v>
      </c>
      <c r="L100" s="4">
        <v>0</v>
      </c>
      <c r="M100" s="4">
        <v>4.5</v>
      </c>
      <c r="N100" s="4" t="s">
        <v>108</v>
      </c>
      <c r="O100" s="4">
        <v>607898.12</v>
      </c>
      <c r="P100" s="4">
        <v>135404.85</v>
      </c>
    </row>
    <row r="101" spans="1:16" x14ac:dyDescent="0.35">
      <c r="A101" s="4" t="s">
        <v>48</v>
      </c>
      <c r="B101" s="5">
        <v>45658</v>
      </c>
      <c r="C101" s="4" t="s">
        <v>29</v>
      </c>
      <c r="D101" s="4" t="s">
        <v>30</v>
      </c>
      <c r="E101" s="4">
        <v>61132.07</v>
      </c>
      <c r="F101" s="4">
        <v>6394</v>
      </c>
      <c r="G101" s="4">
        <v>0.16300000000000001</v>
      </c>
      <c r="H101" s="4">
        <v>19</v>
      </c>
      <c r="I101" s="4">
        <v>91</v>
      </c>
      <c r="J101" s="4">
        <v>19.600000000000001</v>
      </c>
      <c r="K101" s="4" t="s">
        <v>108</v>
      </c>
      <c r="L101" s="4">
        <v>0</v>
      </c>
      <c r="M101" s="4">
        <v>4.4000000000000004</v>
      </c>
      <c r="N101" s="4" t="s">
        <v>108</v>
      </c>
      <c r="O101" s="4">
        <v>691113.62</v>
      </c>
      <c r="P101" s="4">
        <v>135145.44</v>
      </c>
    </row>
    <row r="102" spans="1:16" x14ac:dyDescent="0.35">
      <c r="A102" s="4" t="s">
        <v>48</v>
      </c>
      <c r="B102" s="5">
        <v>45689</v>
      </c>
      <c r="C102" s="4" t="s">
        <v>29</v>
      </c>
      <c r="D102" s="4" t="s">
        <v>30</v>
      </c>
      <c r="E102" s="4">
        <v>78839.39</v>
      </c>
      <c r="F102" s="4">
        <v>5150</v>
      </c>
      <c r="G102" s="4">
        <v>0.17100000000000001</v>
      </c>
      <c r="H102" s="4">
        <v>13</v>
      </c>
      <c r="I102" s="4">
        <v>85.8</v>
      </c>
      <c r="J102" s="4">
        <v>7.57</v>
      </c>
      <c r="K102" s="4" t="s">
        <v>108</v>
      </c>
      <c r="L102" s="4">
        <v>0</v>
      </c>
      <c r="M102" s="4">
        <v>4.3</v>
      </c>
      <c r="N102" s="4" t="s">
        <v>108</v>
      </c>
      <c r="O102" s="4">
        <v>735509.4</v>
      </c>
      <c r="P102" s="4">
        <v>83895.96</v>
      </c>
    </row>
    <row r="103" spans="1:16" x14ac:dyDescent="0.35">
      <c r="A103" s="4" t="s">
        <v>48</v>
      </c>
      <c r="B103" s="5">
        <v>45717</v>
      </c>
      <c r="C103" s="4" t="s">
        <v>29</v>
      </c>
      <c r="D103" s="4" t="s">
        <v>30</v>
      </c>
      <c r="E103" s="4">
        <v>38752.800000000003</v>
      </c>
      <c r="F103" s="4">
        <v>4712</v>
      </c>
      <c r="G103" s="4">
        <v>7.4999999999999997E-2</v>
      </c>
      <c r="H103" s="4">
        <v>15</v>
      </c>
      <c r="I103" s="4">
        <v>89.7</v>
      </c>
      <c r="J103" s="4">
        <v>3.3650000000000002</v>
      </c>
      <c r="K103" s="4" t="s">
        <v>109</v>
      </c>
      <c r="L103" s="4">
        <v>0</v>
      </c>
      <c r="M103" s="4">
        <v>4.3</v>
      </c>
      <c r="N103" s="4" t="s">
        <v>108</v>
      </c>
      <c r="O103" s="4">
        <v>605775.32999999996</v>
      </c>
      <c r="P103" s="4">
        <v>107194.6</v>
      </c>
    </row>
    <row r="104" spans="1:16" x14ac:dyDescent="0.35">
      <c r="A104" s="4" t="s">
        <v>48</v>
      </c>
      <c r="B104" s="5">
        <v>45748</v>
      </c>
      <c r="C104" s="4" t="s">
        <v>29</v>
      </c>
      <c r="D104" s="4" t="s">
        <v>30</v>
      </c>
      <c r="E104" s="4">
        <v>55101.1</v>
      </c>
      <c r="F104" s="4">
        <v>5281</v>
      </c>
      <c r="G104" s="4">
        <v>0.189</v>
      </c>
      <c r="H104" s="4">
        <v>11</v>
      </c>
      <c r="I104" s="4">
        <v>91</v>
      </c>
      <c r="J104" s="4">
        <v>2.7</v>
      </c>
      <c r="K104" s="4" t="s">
        <v>108</v>
      </c>
      <c r="L104" s="4">
        <v>0</v>
      </c>
      <c r="M104" s="4">
        <v>4.4000000000000004</v>
      </c>
      <c r="N104" s="4" t="s">
        <v>108</v>
      </c>
      <c r="O104" s="4">
        <v>675177.68</v>
      </c>
      <c r="P104" s="4">
        <v>105628.68</v>
      </c>
    </row>
    <row r="105" spans="1:16" x14ac:dyDescent="0.35">
      <c r="A105" s="4" t="s">
        <v>49</v>
      </c>
      <c r="B105" s="5">
        <v>45658</v>
      </c>
      <c r="C105" s="4" t="s">
        <v>17</v>
      </c>
      <c r="D105" s="4" t="s">
        <v>30</v>
      </c>
      <c r="E105" s="4">
        <v>53084.76</v>
      </c>
      <c r="F105" s="4">
        <v>3642</v>
      </c>
      <c r="G105" s="4">
        <v>0.15</v>
      </c>
      <c r="H105" s="4">
        <v>12</v>
      </c>
      <c r="I105" s="4">
        <v>91.4</v>
      </c>
      <c r="J105" s="4">
        <v>0.2</v>
      </c>
      <c r="K105" s="4" t="s">
        <v>108</v>
      </c>
      <c r="L105" s="4">
        <v>0</v>
      </c>
      <c r="M105" s="4">
        <v>4.4000000000000004</v>
      </c>
      <c r="N105" s="4" t="s">
        <v>108</v>
      </c>
      <c r="O105" s="4">
        <v>635181.35</v>
      </c>
      <c r="P105" s="4">
        <v>83341.25</v>
      </c>
    </row>
    <row r="106" spans="1:16" x14ac:dyDescent="0.35">
      <c r="A106" s="4" t="s">
        <v>49</v>
      </c>
      <c r="B106" s="5">
        <v>45689</v>
      </c>
      <c r="C106" s="4" t="s">
        <v>17</v>
      </c>
      <c r="D106" s="4" t="s">
        <v>30</v>
      </c>
      <c r="E106" s="4">
        <v>63101.59</v>
      </c>
      <c r="F106" s="4">
        <v>4373</v>
      </c>
      <c r="G106" s="4">
        <v>0.17299999999999999</v>
      </c>
      <c r="H106" s="4">
        <v>14</v>
      </c>
      <c r="I106" s="4">
        <v>90.4</v>
      </c>
      <c r="J106" s="4">
        <v>7.87</v>
      </c>
      <c r="K106" s="4" t="s">
        <v>108</v>
      </c>
      <c r="L106" s="4">
        <v>0</v>
      </c>
      <c r="M106" s="4">
        <v>4.7</v>
      </c>
      <c r="N106" s="4" t="s">
        <v>108</v>
      </c>
      <c r="O106" s="4">
        <v>586626.93999999994</v>
      </c>
      <c r="P106" s="4">
        <v>86498.55</v>
      </c>
    </row>
    <row r="107" spans="1:16" x14ac:dyDescent="0.35">
      <c r="A107" s="4" t="s">
        <v>49</v>
      </c>
      <c r="B107" s="5">
        <v>45717</v>
      </c>
      <c r="C107" s="4" t="s">
        <v>17</v>
      </c>
      <c r="D107" s="4" t="s">
        <v>30</v>
      </c>
      <c r="E107" s="4">
        <v>90084.4</v>
      </c>
      <c r="F107" s="4">
        <v>6832</v>
      </c>
      <c r="G107" s="4">
        <v>0.185</v>
      </c>
      <c r="H107" s="4">
        <v>14</v>
      </c>
      <c r="I107" s="4">
        <v>80.5</v>
      </c>
      <c r="J107" s="4">
        <v>0.77</v>
      </c>
      <c r="K107" s="4" t="s">
        <v>108</v>
      </c>
      <c r="L107" s="4">
        <v>1</v>
      </c>
      <c r="M107" s="4">
        <v>4.4000000000000004</v>
      </c>
      <c r="N107" s="4" t="s">
        <v>108</v>
      </c>
      <c r="O107" s="4">
        <v>740102.64</v>
      </c>
      <c r="P107" s="4">
        <v>114299.07</v>
      </c>
    </row>
    <row r="108" spans="1:16" x14ac:dyDescent="0.35">
      <c r="A108" s="4" t="s">
        <v>49</v>
      </c>
      <c r="B108" s="5">
        <v>45748</v>
      </c>
      <c r="C108" s="4" t="s">
        <v>17</v>
      </c>
      <c r="D108" s="4" t="s">
        <v>30</v>
      </c>
      <c r="E108" s="4">
        <v>32266.639999999999</v>
      </c>
      <c r="F108" s="4">
        <v>2414</v>
      </c>
      <c r="G108" s="4">
        <v>0.08</v>
      </c>
      <c r="H108" s="4">
        <v>7</v>
      </c>
      <c r="I108" s="4">
        <v>92.1</v>
      </c>
      <c r="J108" s="4">
        <v>1.48</v>
      </c>
      <c r="K108" s="4" t="s">
        <v>108</v>
      </c>
      <c r="L108" s="4">
        <v>0</v>
      </c>
      <c r="M108" s="4">
        <v>5</v>
      </c>
      <c r="N108" s="4" t="s">
        <v>108</v>
      </c>
      <c r="O108" s="4">
        <v>625514.04</v>
      </c>
      <c r="P108" s="4">
        <v>120685.08</v>
      </c>
    </row>
    <row r="109" spans="1:16" x14ac:dyDescent="0.35">
      <c r="A109" s="4" t="s">
        <v>50</v>
      </c>
      <c r="B109" s="5">
        <v>45658</v>
      </c>
      <c r="C109" s="4" t="s">
        <v>29</v>
      </c>
      <c r="D109" s="4" t="s">
        <v>20</v>
      </c>
      <c r="E109" s="4">
        <v>57919.07</v>
      </c>
      <c r="F109" s="4">
        <v>7374</v>
      </c>
      <c r="G109" s="4">
        <v>0.10299999999999999</v>
      </c>
      <c r="H109" s="4">
        <v>21</v>
      </c>
      <c r="I109" s="4">
        <v>82.3</v>
      </c>
      <c r="J109" s="4">
        <v>2.87</v>
      </c>
      <c r="K109" s="4" t="s">
        <v>108</v>
      </c>
      <c r="L109" s="4">
        <v>0</v>
      </c>
      <c r="M109" s="4">
        <v>2.9</v>
      </c>
      <c r="N109" s="4" t="s">
        <v>108</v>
      </c>
      <c r="O109" s="4">
        <v>727227.2</v>
      </c>
      <c r="P109" s="4">
        <v>121292.01</v>
      </c>
    </row>
    <row r="110" spans="1:16" x14ac:dyDescent="0.35">
      <c r="A110" s="4" t="s">
        <v>50</v>
      </c>
      <c r="B110" s="5">
        <v>45689</v>
      </c>
      <c r="C110" s="4" t="s">
        <v>29</v>
      </c>
      <c r="D110" s="4" t="s">
        <v>20</v>
      </c>
      <c r="E110" s="4">
        <v>74679.350000000006</v>
      </c>
      <c r="F110" s="4">
        <v>8739</v>
      </c>
      <c r="G110" s="4">
        <v>5.6000000000000001E-2</v>
      </c>
      <c r="H110" s="4">
        <v>21</v>
      </c>
      <c r="I110" s="4">
        <v>91.8</v>
      </c>
      <c r="J110" s="4">
        <v>2.83</v>
      </c>
      <c r="K110" s="4" t="s">
        <v>108</v>
      </c>
      <c r="L110" s="4">
        <v>0</v>
      </c>
      <c r="M110" s="4">
        <v>3</v>
      </c>
      <c r="N110" s="4" t="s">
        <v>108</v>
      </c>
      <c r="O110" s="4">
        <v>783797.89</v>
      </c>
      <c r="P110" s="4">
        <v>157620.70000000001</v>
      </c>
    </row>
    <row r="111" spans="1:16" x14ac:dyDescent="0.35">
      <c r="A111" s="4" t="s">
        <v>50</v>
      </c>
      <c r="B111" s="5">
        <v>45717</v>
      </c>
      <c r="C111" s="4" t="s">
        <v>29</v>
      </c>
      <c r="D111" s="4" t="s">
        <v>20</v>
      </c>
      <c r="E111" s="4">
        <v>64294.23</v>
      </c>
      <c r="F111" s="4">
        <v>6992</v>
      </c>
      <c r="G111" s="4">
        <v>0.13300000000000001</v>
      </c>
      <c r="H111" s="4">
        <v>14</v>
      </c>
      <c r="I111" s="4">
        <v>94.1</v>
      </c>
      <c r="J111" s="4">
        <v>0.25</v>
      </c>
      <c r="K111" s="4" t="s">
        <v>108</v>
      </c>
      <c r="L111" s="4">
        <v>0</v>
      </c>
      <c r="M111" s="4">
        <v>3</v>
      </c>
      <c r="N111" s="4" t="s">
        <v>108</v>
      </c>
      <c r="O111" s="4">
        <v>795153.84</v>
      </c>
      <c r="P111" s="4">
        <v>143194.21</v>
      </c>
    </row>
    <row r="112" spans="1:16" x14ac:dyDescent="0.35">
      <c r="A112" s="4" t="s">
        <v>50</v>
      </c>
      <c r="B112" s="5">
        <v>45748</v>
      </c>
      <c r="C112" s="4" t="s">
        <v>29</v>
      </c>
      <c r="D112" s="4" t="s">
        <v>20</v>
      </c>
      <c r="E112" s="4">
        <v>31042.03</v>
      </c>
      <c r="F112" s="4">
        <v>7107</v>
      </c>
      <c r="G112" s="4">
        <v>5.0999999999999997E-2</v>
      </c>
      <c r="H112" s="4">
        <v>15</v>
      </c>
      <c r="I112" s="4">
        <v>87</v>
      </c>
      <c r="J112" s="4">
        <v>13.33</v>
      </c>
      <c r="K112" s="4" t="s">
        <v>108</v>
      </c>
      <c r="L112" s="4">
        <v>0</v>
      </c>
      <c r="M112" s="4">
        <v>3.2</v>
      </c>
      <c r="N112" s="4" t="s">
        <v>108</v>
      </c>
      <c r="O112" s="4">
        <v>665594.93999999994</v>
      </c>
      <c r="P112" s="4">
        <v>127597.34</v>
      </c>
    </row>
    <row r="113" spans="1:16" x14ac:dyDescent="0.35">
      <c r="A113" s="4" t="s">
        <v>51</v>
      </c>
      <c r="B113" s="5">
        <v>45658</v>
      </c>
      <c r="C113" s="4" t="s">
        <v>17</v>
      </c>
      <c r="D113" s="4" t="s">
        <v>30</v>
      </c>
      <c r="E113" s="4">
        <v>75265.02</v>
      </c>
      <c r="F113" s="4">
        <v>6975</v>
      </c>
      <c r="G113" s="4">
        <v>0.157</v>
      </c>
      <c r="H113" s="4">
        <v>20</v>
      </c>
      <c r="I113" s="4">
        <v>73.8</v>
      </c>
      <c r="J113" s="4">
        <v>6.35</v>
      </c>
      <c r="K113" s="4" t="s">
        <v>108</v>
      </c>
      <c r="L113" s="4">
        <v>1</v>
      </c>
      <c r="M113" s="4">
        <v>3.8</v>
      </c>
      <c r="N113" s="4" t="s">
        <v>108</v>
      </c>
      <c r="O113" s="4">
        <v>709478.39</v>
      </c>
      <c r="P113" s="4">
        <v>71294.27</v>
      </c>
    </row>
    <row r="114" spans="1:16" x14ac:dyDescent="0.35">
      <c r="A114" s="4" t="s">
        <v>51</v>
      </c>
      <c r="B114" s="5">
        <v>45689</v>
      </c>
      <c r="C114" s="4" t="s">
        <v>17</v>
      </c>
      <c r="D114" s="4" t="s">
        <v>30</v>
      </c>
      <c r="E114" s="4">
        <v>69411.7</v>
      </c>
      <c r="F114" s="4">
        <v>5493</v>
      </c>
      <c r="G114" s="4">
        <v>0.29199999999999998</v>
      </c>
      <c r="H114" s="4">
        <v>13</v>
      </c>
      <c r="I114" s="4">
        <v>86.5</v>
      </c>
      <c r="J114" s="4">
        <v>6.69</v>
      </c>
      <c r="K114" s="4" t="s">
        <v>108</v>
      </c>
      <c r="L114" s="4">
        <v>0</v>
      </c>
      <c r="M114" s="4">
        <v>3.8</v>
      </c>
      <c r="N114" s="4" t="s">
        <v>108</v>
      </c>
      <c r="O114" s="4">
        <v>664162.49</v>
      </c>
      <c r="P114" s="4">
        <v>98291.06</v>
      </c>
    </row>
    <row r="115" spans="1:16" x14ac:dyDescent="0.35">
      <c r="A115" s="4" t="s">
        <v>51</v>
      </c>
      <c r="B115" s="5">
        <v>45717</v>
      </c>
      <c r="C115" s="4" t="s">
        <v>17</v>
      </c>
      <c r="D115" s="4" t="s">
        <v>30</v>
      </c>
      <c r="E115" s="4">
        <v>51056.15</v>
      </c>
      <c r="F115" s="4">
        <v>5686</v>
      </c>
      <c r="G115" s="4">
        <v>8.8999999999999996E-2</v>
      </c>
      <c r="H115" s="4">
        <v>13</v>
      </c>
      <c r="I115" s="4">
        <v>89.9</v>
      </c>
      <c r="J115" s="4">
        <v>1.28</v>
      </c>
      <c r="K115" s="4" t="s">
        <v>108</v>
      </c>
      <c r="L115" s="4">
        <v>0</v>
      </c>
      <c r="M115" s="4">
        <v>4.2</v>
      </c>
      <c r="N115" s="4" t="s">
        <v>108</v>
      </c>
      <c r="O115" s="4">
        <v>633494.21</v>
      </c>
      <c r="P115" s="4">
        <v>105739.47</v>
      </c>
    </row>
    <row r="116" spans="1:16" x14ac:dyDescent="0.35">
      <c r="A116" s="4" t="s">
        <v>51</v>
      </c>
      <c r="B116" s="5">
        <v>45748</v>
      </c>
      <c r="C116" s="4" t="s">
        <v>17</v>
      </c>
      <c r="D116" s="4" t="s">
        <v>30</v>
      </c>
      <c r="E116" s="4">
        <v>52758.01</v>
      </c>
      <c r="F116" s="4">
        <v>4063</v>
      </c>
      <c r="G116" s="4">
        <v>5.7000000000000002E-2</v>
      </c>
      <c r="H116" s="4">
        <v>12</v>
      </c>
      <c r="I116" s="4">
        <v>91.7</v>
      </c>
      <c r="J116" s="4">
        <v>0.92</v>
      </c>
      <c r="K116" s="4" t="s">
        <v>108</v>
      </c>
      <c r="L116" s="4">
        <v>0</v>
      </c>
      <c r="M116" s="4">
        <v>3.5</v>
      </c>
      <c r="N116" s="4" t="s">
        <v>108</v>
      </c>
      <c r="O116" s="4">
        <v>713611.16</v>
      </c>
      <c r="P116" s="4">
        <v>129717.18</v>
      </c>
    </row>
    <row r="117" spans="1:16" x14ac:dyDescent="0.35">
      <c r="A117" s="4" t="s">
        <v>52</v>
      </c>
      <c r="B117" s="5">
        <v>45658</v>
      </c>
      <c r="C117" s="4" t="s">
        <v>29</v>
      </c>
      <c r="D117" s="4" t="s">
        <v>30</v>
      </c>
      <c r="E117" s="4">
        <v>61426.04</v>
      </c>
      <c r="F117" s="4">
        <v>8966</v>
      </c>
      <c r="G117" s="4">
        <v>0.17299999999999999</v>
      </c>
      <c r="H117" s="4">
        <v>22</v>
      </c>
      <c r="I117" s="4">
        <v>76.400000000000006</v>
      </c>
      <c r="J117" s="4">
        <v>1.05</v>
      </c>
      <c r="K117" s="4" t="s">
        <v>108</v>
      </c>
      <c r="L117" s="4">
        <v>0</v>
      </c>
      <c r="M117" s="4">
        <v>3.1</v>
      </c>
      <c r="N117" s="4" t="s">
        <v>108</v>
      </c>
      <c r="O117" s="4">
        <v>778397.97</v>
      </c>
      <c r="P117" s="4">
        <v>120044.41</v>
      </c>
    </row>
    <row r="118" spans="1:16" x14ac:dyDescent="0.35">
      <c r="A118" s="4" t="s">
        <v>52</v>
      </c>
      <c r="B118" s="5">
        <v>45689</v>
      </c>
      <c r="C118" s="4" t="s">
        <v>29</v>
      </c>
      <c r="D118" s="4" t="s">
        <v>30</v>
      </c>
      <c r="E118" s="4">
        <v>80176.34</v>
      </c>
      <c r="F118" s="4">
        <v>9489</v>
      </c>
      <c r="G118" s="4">
        <v>0.14199999999999999</v>
      </c>
      <c r="H118" s="4">
        <v>22</v>
      </c>
      <c r="I118" s="4">
        <v>94.3</v>
      </c>
      <c r="J118" s="4">
        <v>2.67</v>
      </c>
      <c r="K118" s="4" t="s">
        <v>108</v>
      </c>
      <c r="L118" s="4">
        <v>0</v>
      </c>
      <c r="M118" s="4">
        <v>3.5</v>
      </c>
      <c r="N118" s="4" t="s">
        <v>108</v>
      </c>
      <c r="O118" s="4">
        <v>873380.02</v>
      </c>
      <c r="P118" s="4">
        <v>149734.76</v>
      </c>
    </row>
    <row r="119" spans="1:16" x14ac:dyDescent="0.35">
      <c r="A119" s="4" t="s">
        <v>52</v>
      </c>
      <c r="B119" s="5">
        <v>45717</v>
      </c>
      <c r="C119" s="4" t="s">
        <v>29</v>
      </c>
      <c r="D119" s="4" t="s">
        <v>30</v>
      </c>
      <c r="E119" s="4">
        <v>33605.18</v>
      </c>
      <c r="F119" s="4">
        <v>9225</v>
      </c>
      <c r="G119" s="4">
        <v>0.159</v>
      </c>
      <c r="H119" s="4">
        <v>23</v>
      </c>
      <c r="I119" s="4">
        <v>88.4</v>
      </c>
      <c r="J119" s="4">
        <v>5.91</v>
      </c>
      <c r="K119" s="4" t="s">
        <v>108</v>
      </c>
      <c r="L119" s="4">
        <v>0</v>
      </c>
      <c r="M119" s="4">
        <v>2.8</v>
      </c>
      <c r="N119" s="4" t="s">
        <v>108</v>
      </c>
      <c r="O119" s="4">
        <v>697287.9</v>
      </c>
      <c r="P119" s="4">
        <v>128208.33</v>
      </c>
    </row>
    <row r="120" spans="1:16" x14ac:dyDescent="0.35">
      <c r="A120" s="4" t="s">
        <v>52</v>
      </c>
      <c r="B120" s="5">
        <v>45748</v>
      </c>
      <c r="C120" s="4" t="s">
        <v>29</v>
      </c>
      <c r="D120" s="4" t="s">
        <v>30</v>
      </c>
      <c r="E120" s="4">
        <v>25990.54</v>
      </c>
      <c r="F120" s="4">
        <v>9249</v>
      </c>
      <c r="G120" s="4">
        <v>0.13900000000000001</v>
      </c>
      <c r="H120" s="4">
        <v>23</v>
      </c>
      <c r="I120" s="4">
        <v>92.5</v>
      </c>
      <c r="J120" s="4">
        <v>6.37</v>
      </c>
      <c r="K120" s="4" t="s">
        <v>108</v>
      </c>
      <c r="L120" s="4">
        <v>0</v>
      </c>
      <c r="M120" s="4">
        <v>3.3</v>
      </c>
      <c r="N120" s="4" t="s">
        <v>108</v>
      </c>
      <c r="O120" s="4">
        <v>718074.79</v>
      </c>
      <c r="P120" s="4">
        <v>115819.87</v>
      </c>
    </row>
    <row r="121" spans="1:16" x14ac:dyDescent="0.35">
      <c r="A121" s="4" t="s">
        <v>53</v>
      </c>
      <c r="B121" s="5">
        <v>45658</v>
      </c>
      <c r="C121" s="4" t="s">
        <v>29</v>
      </c>
      <c r="D121" s="4" t="s">
        <v>18</v>
      </c>
      <c r="E121" s="4">
        <v>43685.14</v>
      </c>
      <c r="F121" s="4">
        <v>7821</v>
      </c>
      <c r="G121" s="4">
        <v>0.19</v>
      </c>
      <c r="H121" s="4">
        <v>17</v>
      </c>
      <c r="I121" s="4">
        <v>91</v>
      </c>
      <c r="J121" s="4">
        <v>2.4900000000000002</v>
      </c>
      <c r="K121" s="4" t="s">
        <v>108</v>
      </c>
      <c r="L121" s="4">
        <v>1</v>
      </c>
      <c r="M121" s="4">
        <v>4.7</v>
      </c>
      <c r="N121" s="4" t="s">
        <v>108</v>
      </c>
      <c r="O121" s="4">
        <v>714942.43</v>
      </c>
      <c r="P121" s="4">
        <v>94697.71</v>
      </c>
    </row>
    <row r="122" spans="1:16" x14ac:dyDescent="0.35">
      <c r="A122" s="4" t="s">
        <v>53</v>
      </c>
      <c r="B122" s="5">
        <v>45689</v>
      </c>
      <c r="C122" s="4" t="s">
        <v>29</v>
      </c>
      <c r="D122" s="4" t="s">
        <v>18</v>
      </c>
      <c r="E122" s="4">
        <v>57360.01</v>
      </c>
      <c r="F122" s="4">
        <v>8434</v>
      </c>
      <c r="G122" s="4">
        <v>0.151</v>
      </c>
      <c r="H122" s="4">
        <v>19</v>
      </c>
      <c r="I122" s="4">
        <v>84.1</v>
      </c>
      <c r="J122" s="4">
        <v>1.56</v>
      </c>
      <c r="K122" s="4" t="s">
        <v>108</v>
      </c>
      <c r="L122" s="4">
        <v>0</v>
      </c>
      <c r="M122" s="4">
        <v>4.7</v>
      </c>
      <c r="N122" s="4" t="s">
        <v>108</v>
      </c>
      <c r="O122" s="4">
        <v>820519.04</v>
      </c>
      <c r="P122" s="4">
        <v>99035.88</v>
      </c>
    </row>
    <row r="123" spans="1:16" x14ac:dyDescent="0.35">
      <c r="A123" s="4" t="s">
        <v>53</v>
      </c>
      <c r="B123" s="5">
        <v>45717</v>
      </c>
      <c r="C123" s="4" t="s">
        <v>29</v>
      </c>
      <c r="D123" s="4" t="s">
        <v>18</v>
      </c>
      <c r="E123" s="4">
        <v>42415.47</v>
      </c>
      <c r="F123" s="4">
        <v>8512</v>
      </c>
      <c r="G123" s="4">
        <v>0.13300000000000001</v>
      </c>
      <c r="H123" s="4">
        <v>18</v>
      </c>
      <c r="I123" s="4">
        <v>96.8</v>
      </c>
      <c r="J123" s="4">
        <v>14.95</v>
      </c>
      <c r="K123" s="4" t="s">
        <v>108</v>
      </c>
      <c r="L123" s="4">
        <v>0</v>
      </c>
      <c r="M123" s="4">
        <v>4.5999999999999996</v>
      </c>
      <c r="N123" s="4" t="s">
        <v>108</v>
      </c>
      <c r="O123" s="4">
        <v>684217.32</v>
      </c>
      <c r="P123" s="4">
        <v>136217.19</v>
      </c>
    </row>
    <row r="124" spans="1:16" x14ac:dyDescent="0.35">
      <c r="A124" s="4" t="s">
        <v>53</v>
      </c>
      <c r="B124" s="5">
        <v>45748</v>
      </c>
      <c r="C124" s="4" t="s">
        <v>29</v>
      </c>
      <c r="D124" s="4" t="s">
        <v>18</v>
      </c>
      <c r="E124" s="4">
        <v>54968.98</v>
      </c>
      <c r="F124" s="4">
        <v>7816</v>
      </c>
      <c r="G124" s="4">
        <v>0.23200000000000001</v>
      </c>
      <c r="H124" s="4">
        <v>19</v>
      </c>
      <c r="I124" s="4">
        <v>95.7</v>
      </c>
      <c r="J124" s="4">
        <v>7.85</v>
      </c>
      <c r="K124" s="4" t="s">
        <v>108</v>
      </c>
      <c r="L124" s="4">
        <v>0</v>
      </c>
      <c r="M124" s="4">
        <v>4.7</v>
      </c>
      <c r="N124" s="4" t="s">
        <v>108</v>
      </c>
      <c r="O124" s="4">
        <v>735480.19</v>
      </c>
      <c r="P124" s="4">
        <v>88342.11</v>
      </c>
    </row>
    <row r="125" spans="1:16" x14ac:dyDescent="0.35">
      <c r="A125" s="4" t="s">
        <v>54</v>
      </c>
      <c r="B125" s="5">
        <v>45658</v>
      </c>
      <c r="C125" s="4" t="s">
        <v>22</v>
      </c>
      <c r="D125" s="4" t="s">
        <v>20</v>
      </c>
      <c r="E125" s="4">
        <v>43896.13</v>
      </c>
      <c r="F125" s="4">
        <v>3853</v>
      </c>
      <c r="G125" s="4">
        <v>8.7999999999999995E-2</v>
      </c>
      <c r="H125" s="4">
        <v>13</v>
      </c>
      <c r="I125" s="4">
        <v>83</v>
      </c>
      <c r="J125" s="4">
        <v>6.8</v>
      </c>
      <c r="K125" s="4" t="s">
        <v>108</v>
      </c>
      <c r="L125" s="4">
        <v>0</v>
      </c>
      <c r="M125" s="4">
        <v>4.4000000000000004</v>
      </c>
      <c r="N125" s="4" t="s">
        <v>108</v>
      </c>
      <c r="O125" s="4">
        <v>509484.81</v>
      </c>
      <c r="P125" s="4">
        <v>85742.36</v>
      </c>
    </row>
    <row r="126" spans="1:16" x14ac:dyDescent="0.35">
      <c r="A126" s="4" t="s">
        <v>54</v>
      </c>
      <c r="B126" s="5">
        <v>45689</v>
      </c>
      <c r="C126" s="4" t="s">
        <v>22</v>
      </c>
      <c r="D126" s="4" t="s">
        <v>20</v>
      </c>
      <c r="E126" s="4">
        <v>83044.17</v>
      </c>
      <c r="F126" s="4">
        <v>3694</v>
      </c>
      <c r="G126" s="4">
        <v>0</v>
      </c>
      <c r="H126" s="4">
        <v>14</v>
      </c>
      <c r="I126" s="4">
        <v>89.4</v>
      </c>
      <c r="J126" s="4">
        <v>2.2000000000000002</v>
      </c>
      <c r="K126" s="4" t="s">
        <v>108</v>
      </c>
      <c r="L126" s="4">
        <v>0</v>
      </c>
      <c r="M126" s="4">
        <v>3.7</v>
      </c>
      <c r="N126" s="4" t="s">
        <v>108</v>
      </c>
      <c r="O126" s="4">
        <v>654317.09</v>
      </c>
      <c r="P126" s="4">
        <v>121446.89</v>
      </c>
    </row>
    <row r="127" spans="1:16" x14ac:dyDescent="0.35">
      <c r="A127" s="4" t="s">
        <v>54</v>
      </c>
      <c r="B127" s="5">
        <v>45717</v>
      </c>
      <c r="C127" s="4" t="s">
        <v>22</v>
      </c>
      <c r="D127" s="4" t="s">
        <v>20</v>
      </c>
      <c r="E127" s="4">
        <v>48396.13</v>
      </c>
      <c r="F127" s="4">
        <v>4423</v>
      </c>
      <c r="G127" s="4">
        <v>6.9000000000000006E-2</v>
      </c>
      <c r="H127" s="4">
        <v>15</v>
      </c>
      <c r="I127" s="4">
        <v>85.7</v>
      </c>
      <c r="J127" s="4">
        <v>1.88</v>
      </c>
      <c r="K127" s="4" t="s">
        <v>108</v>
      </c>
      <c r="L127" s="4">
        <v>0</v>
      </c>
      <c r="M127" s="4">
        <v>3.9</v>
      </c>
      <c r="N127" s="4" t="s">
        <v>108</v>
      </c>
      <c r="O127" s="4">
        <v>557487.26</v>
      </c>
      <c r="P127" s="4">
        <v>76432.19</v>
      </c>
    </row>
    <row r="128" spans="1:16" x14ac:dyDescent="0.35">
      <c r="A128" s="4" t="s">
        <v>54</v>
      </c>
      <c r="B128" s="5">
        <v>45748</v>
      </c>
      <c r="C128" s="4" t="s">
        <v>22</v>
      </c>
      <c r="D128" s="4" t="s">
        <v>20</v>
      </c>
      <c r="E128" s="4">
        <v>19063.48</v>
      </c>
      <c r="F128" s="4">
        <v>1906</v>
      </c>
      <c r="G128" s="4">
        <v>0.216</v>
      </c>
      <c r="H128" s="4">
        <v>10</v>
      </c>
      <c r="I128" s="4">
        <v>97.8</v>
      </c>
      <c r="J128" s="4">
        <v>15.79</v>
      </c>
      <c r="K128" s="4" t="s">
        <v>108</v>
      </c>
      <c r="L128" s="4">
        <v>0</v>
      </c>
      <c r="M128" s="4">
        <v>4.4000000000000004</v>
      </c>
      <c r="N128" s="4" t="s">
        <v>108</v>
      </c>
      <c r="O128" s="4">
        <v>441275.42</v>
      </c>
      <c r="P128" s="4">
        <v>58234.87</v>
      </c>
    </row>
    <row r="129" spans="1:16" x14ac:dyDescent="0.35">
      <c r="A129" s="4" t="s">
        <v>55</v>
      </c>
      <c r="B129" s="5">
        <v>45658</v>
      </c>
      <c r="C129" s="4" t="s">
        <v>26</v>
      </c>
      <c r="D129" s="4" t="s">
        <v>20</v>
      </c>
      <c r="E129" s="4">
        <v>61541.21</v>
      </c>
      <c r="F129" s="4">
        <v>10396</v>
      </c>
      <c r="G129" s="4">
        <v>0.123</v>
      </c>
      <c r="H129" s="4">
        <v>25</v>
      </c>
      <c r="I129" s="4">
        <v>88.1</v>
      </c>
      <c r="J129" s="4">
        <v>2.34</v>
      </c>
      <c r="K129" s="4" t="s">
        <v>108</v>
      </c>
      <c r="L129" s="4">
        <v>1</v>
      </c>
      <c r="M129" s="4">
        <v>4.8</v>
      </c>
      <c r="N129" s="4" t="s">
        <v>108</v>
      </c>
      <c r="O129" s="4">
        <v>914544.17</v>
      </c>
      <c r="P129" s="4">
        <v>79831.73</v>
      </c>
    </row>
    <row r="130" spans="1:16" x14ac:dyDescent="0.35">
      <c r="A130" s="4" t="s">
        <v>55</v>
      </c>
      <c r="B130" s="5">
        <v>45689</v>
      </c>
      <c r="C130" s="4" t="s">
        <v>26</v>
      </c>
      <c r="D130" s="4" t="s">
        <v>20</v>
      </c>
      <c r="E130" s="4">
        <v>44747</v>
      </c>
      <c r="F130" s="4">
        <v>11076</v>
      </c>
      <c r="G130" s="4">
        <v>0.17599999999999999</v>
      </c>
      <c r="H130" s="4">
        <v>27</v>
      </c>
      <c r="I130" s="4">
        <v>98.3</v>
      </c>
      <c r="J130" s="4">
        <v>0.54</v>
      </c>
      <c r="K130" s="4" t="s">
        <v>108</v>
      </c>
      <c r="L130" s="4">
        <v>0</v>
      </c>
      <c r="M130" s="4">
        <v>4.4000000000000004</v>
      </c>
      <c r="N130" s="4" t="s">
        <v>108</v>
      </c>
      <c r="O130" s="4">
        <v>842439.67</v>
      </c>
      <c r="P130" s="4">
        <v>169983.63</v>
      </c>
    </row>
    <row r="131" spans="1:16" x14ac:dyDescent="0.35">
      <c r="A131" s="4" t="s">
        <v>55</v>
      </c>
      <c r="B131" s="5">
        <v>45717</v>
      </c>
      <c r="C131" s="4" t="s">
        <v>26</v>
      </c>
      <c r="D131" s="4" t="s">
        <v>20</v>
      </c>
      <c r="E131" s="4">
        <v>56517.9</v>
      </c>
      <c r="F131" s="4">
        <v>9574</v>
      </c>
      <c r="G131" s="4">
        <v>0.20399999999999999</v>
      </c>
      <c r="H131" s="4">
        <v>20</v>
      </c>
      <c r="I131" s="4">
        <v>88.2</v>
      </c>
      <c r="J131" s="4">
        <v>5.37</v>
      </c>
      <c r="K131" s="4" t="s">
        <v>108</v>
      </c>
      <c r="L131" s="4">
        <v>1</v>
      </c>
      <c r="M131" s="4">
        <v>4.9000000000000004</v>
      </c>
      <c r="N131" s="4" t="s">
        <v>108</v>
      </c>
      <c r="O131" s="4">
        <v>842157.92</v>
      </c>
      <c r="P131" s="4">
        <v>107348.22</v>
      </c>
    </row>
    <row r="132" spans="1:16" x14ac:dyDescent="0.35">
      <c r="A132" s="4" t="s">
        <v>55</v>
      </c>
      <c r="B132" s="5">
        <v>45748</v>
      </c>
      <c r="C132" s="4" t="s">
        <v>26</v>
      </c>
      <c r="D132" s="4" t="s">
        <v>20</v>
      </c>
      <c r="E132" s="4">
        <v>37828.5</v>
      </c>
      <c r="F132" s="4">
        <v>8221</v>
      </c>
      <c r="G132" s="4">
        <v>9.6000000000000002E-2</v>
      </c>
      <c r="H132" s="4">
        <v>19</v>
      </c>
      <c r="I132" s="4">
        <v>81.5</v>
      </c>
      <c r="J132" s="4">
        <v>3.19</v>
      </c>
      <c r="K132" s="4" t="s">
        <v>108</v>
      </c>
      <c r="L132" s="4">
        <v>0</v>
      </c>
      <c r="M132" s="4">
        <v>4.8</v>
      </c>
      <c r="N132" s="4" t="s">
        <v>108</v>
      </c>
      <c r="O132" s="4">
        <v>697155.3</v>
      </c>
      <c r="P132" s="4">
        <v>136408.54</v>
      </c>
    </row>
    <row r="133" spans="1:16" x14ac:dyDescent="0.35">
      <c r="A133" s="4" t="s">
        <v>56</v>
      </c>
      <c r="B133" s="5">
        <v>45658</v>
      </c>
      <c r="C133" s="4" t="s">
        <v>17</v>
      </c>
      <c r="D133" s="4" t="s">
        <v>20</v>
      </c>
      <c r="E133" s="4">
        <v>66250.53</v>
      </c>
      <c r="F133" s="4">
        <v>10618</v>
      </c>
      <c r="G133" s="4">
        <v>0.14199999999999999</v>
      </c>
      <c r="H133" s="4">
        <v>27</v>
      </c>
      <c r="I133" s="4">
        <v>88.3</v>
      </c>
      <c r="J133" s="4">
        <v>1.1000000000000001</v>
      </c>
      <c r="K133" s="4" t="s">
        <v>108</v>
      </c>
      <c r="L133" s="4">
        <v>1</v>
      </c>
      <c r="M133" s="4">
        <v>4.4000000000000004</v>
      </c>
      <c r="N133" s="4" t="s">
        <v>108</v>
      </c>
      <c r="O133" s="4">
        <v>849018.3</v>
      </c>
      <c r="P133" s="4">
        <v>149035.13</v>
      </c>
    </row>
    <row r="134" spans="1:16" x14ac:dyDescent="0.35">
      <c r="A134" s="4" t="s">
        <v>56</v>
      </c>
      <c r="B134" s="5">
        <v>45689</v>
      </c>
      <c r="C134" s="4" t="s">
        <v>17</v>
      </c>
      <c r="D134" s="4" t="s">
        <v>20</v>
      </c>
      <c r="E134" s="4">
        <v>68410.929999999993</v>
      </c>
      <c r="F134" s="4">
        <v>10596</v>
      </c>
      <c r="G134" s="4">
        <v>0.20699999999999999</v>
      </c>
      <c r="H134" s="4">
        <v>25</v>
      </c>
      <c r="I134" s="4">
        <v>81.2</v>
      </c>
      <c r="J134" s="4">
        <v>0.21</v>
      </c>
      <c r="K134" s="4" t="s">
        <v>108</v>
      </c>
      <c r="L134" s="4">
        <v>0</v>
      </c>
      <c r="M134" s="4">
        <v>4</v>
      </c>
      <c r="N134" s="4" t="s">
        <v>108</v>
      </c>
      <c r="O134" s="4">
        <v>801830.35</v>
      </c>
      <c r="P134" s="4">
        <v>114875.32</v>
      </c>
    </row>
    <row r="135" spans="1:16" x14ac:dyDescent="0.35">
      <c r="A135" s="4" t="s">
        <v>56</v>
      </c>
      <c r="B135" s="5">
        <v>45717</v>
      </c>
      <c r="C135" s="4" t="s">
        <v>17</v>
      </c>
      <c r="D135" s="4" t="s">
        <v>20</v>
      </c>
      <c r="E135" s="4">
        <v>50735.63</v>
      </c>
      <c r="F135" s="4">
        <v>9619</v>
      </c>
      <c r="G135" s="4">
        <v>0.14399999999999999</v>
      </c>
      <c r="H135" s="4">
        <v>19</v>
      </c>
      <c r="I135" s="4">
        <v>93.8</v>
      </c>
      <c r="J135" s="4">
        <v>5.12</v>
      </c>
      <c r="K135" s="4" t="s">
        <v>108</v>
      </c>
      <c r="L135" s="4">
        <v>1</v>
      </c>
      <c r="M135" s="4">
        <v>4.5</v>
      </c>
      <c r="N135" s="4" t="s">
        <v>108</v>
      </c>
      <c r="O135" s="4">
        <v>725235.28</v>
      </c>
      <c r="P135" s="4">
        <v>121632.24</v>
      </c>
    </row>
    <row r="136" spans="1:16" x14ac:dyDescent="0.35">
      <c r="A136" s="4" t="s">
        <v>56</v>
      </c>
      <c r="B136" s="5">
        <v>45748</v>
      </c>
      <c r="C136" s="4" t="s">
        <v>17</v>
      </c>
      <c r="D136" s="4" t="s">
        <v>20</v>
      </c>
      <c r="E136" s="4">
        <v>66455.8</v>
      </c>
      <c r="F136" s="4">
        <v>10836</v>
      </c>
      <c r="G136" s="4">
        <v>8.8999999999999996E-2</v>
      </c>
      <c r="H136" s="4">
        <v>25</v>
      </c>
      <c r="I136" s="4">
        <v>85</v>
      </c>
      <c r="J136" s="4">
        <v>9.77</v>
      </c>
      <c r="K136" s="4" t="s">
        <v>108</v>
      </c>
      <c r="L136" s="4">
        <v>0</v>
      </c>
      <c r="M136" s="4">
        <v>4.5</v>
      </c>
      <c r="N136" s="4" t="s">
        <v>108</v>
      </c>
      <c r="O136" s="4">
        <v>811452.72</v>
      </c>
      <c r="P136" s="4">
        <v>131325.67000000001</v>
      </c>
    </row>
    <row r="137" spans="1:16" x14ac:dyDescent="0.35">
      <c r="A137" s="4" t="s">
        <v>57</v>
      </c>
      <c r="B137" s="5">
        <v>45658</v>
      </c>
      <c r="C137" s="4" t="s">
        <v>22</v>
      </c>
      <c r="D137" s="4" t="s">
        <v>20</v>
      </c>
      <c r="E137" s="4">
        <v>70276.28</v>
      </c>
      <c r="F137" s="4">
        <v>3043</v>
      </c>
      <c r="G137" s="4">
        <v>7.9000000000000001E-2</v>
      </c>
      <c r="H137" s="4">
        <v>9</v>
      </c>
      <c r="I137" s="4">
        <v>87.9</v>
      </c>
      <c r="J137" s="4">
        <v>3.77</v>
      </c>
      <c r="K137" s="4" t="s">
        <v>108</v>
      </c>
      <c r="L137" s="4">
        <v>0</v>
      </c>
      <c r="M137" s="4">
        <v>4.4000000000000004</v>
      </c>
      <c r="N137" s="4" t="s">
        <v>108</v>
      </c>
      <c r="O137" s="4">
        <v>527300.13</v>
      </c>
      <c r="P137" s="4">
        <v>84197.87</v>
      </c>
    </row>
    <row r="138" spans="1:16" x14ac:dyDescent="0.35">
      <c r="A138" s="4" t="s">
        <v>57</v>
      </c>
      <c r="B138" s="5">
        <v>45689</v>
      </c>
      <c r="C138" s="4" t="s">
        <v>22</v>
      </c>
      <c r="D138" s="4" t="s">
        <v>20</v>
      </c>
      <c r="E138" s="4">
        <v>22071.64</v>
      </c>
      <c r="F138" s="4">
        <v>1814</v>
      </c>
      <c r="G138" s="4">
        <v>0.19600000000000001</v>
      </c>
      <c r="H138" s="4">
        <v>8</v>
      </c>
      <c r="I138" s="4">
        <v>81.099999999999994</v>
      </c>
      <c r="J138" s="4">
        <v>0.78</v>
      </c>
      <c r="K138" s="4" t="s">
        <v>108</v>
      </c>
      <c r="L138" s="4">
        <v>0</v>
      </c>
      <c r="M138" s="4">
        <v>3.9</v>
      </c>
      <c r="N138" s="4" t="s">
        <v>109</v>
      </c>
      <c r="O138" s="4">
        <v>400831.65</v>
      </c>
      <c r="P138" s="4">
        <v>70979.31</v>
      </c>
    </row>
    <row r="139" spans="1:16" x14ac:dyDescent="0.35">
      <c r="A139" s="4" t="s">
        <v>57</v>
      </c>
      <c r="B139" s="5">
        <v>45717</v>
      </c>
      <c r="C139" s="4" t="s">
        <v>22</v>
      </c>
      <c r="D139" s="4" t="s">
        <v>20</v>
      </c>
      <c r="E139" s="4">
        <v>52285.45</v>
      </c>
      <c r="F139" s="4">
        <v>3618</v>
      </c>
      <c r="G139" s="4">
        <v>8.5999999999999993E-2</v>
      </c>
      <c r="H139" s="4">
        <v>11</v>
      </c>
      <c r="I139" s="4">
        <v>95.6</v>
      </c>
      <c r="J139" s="4">
        <v>5.17</v>
      </c>
      <c r="K139" s="4" t="s">
        <v>108</v>
      </c>
      <c r="L139" s="4">
        <v>1</v>
      </c>
      <c r="M139" s="4">
        <v>4.4000000000000004</v>
      </c>
      <c r="N139" s="4" t="s">
        <v>108</v>
      </c>
      <c r="O139" s="4">
        <v>593247.25</v>
      </c>
      <c r="P139" s="4">
        <v>81240.289999999994</v>
      </c>
    </row>
    <row r="140" spans="1:16" x14ac:dyDescent="0.35">
      <c r="A140" s="4" t="s">
        <v>57</v>
      </c>
      <c r="B140" s="5">
        <v>45748</v>
      </c>
      <c r="C140" s="4" t="s">
        <v>22</v>
      </c>
      <c r="D140" s="4" t="s">
        <v>20</v>
      </c>
      <c r="E140" s="4">
        <v>70366.759999999995</v>
      </c>
      <c r="F140" s="4">
        <v>1963</v>
      </c>
      <c r="G140" s="4">
        <v>0.182</v>
      </c>
      <c r="H140" s="4">
        <v>8</v>
      </c>
      <c r="I140" s="4">
        <v>89.8</v>
      </c>
      <c r="J140" s="4">
        <v>3.2</v>
      </c>
      <c r="K140" s="4" t="s">
        <v>108</v>
      </c>
      <c r="L140" s="4">
        <v>0</v>
      </c>
      <c r="M140" s="4">
        <v>4.5999999999999996</v>
      </c>
      <c r="N140" s="4" t="s">
        <v>108</v>
      </c>
      <c r="O140" s="4">
        <v>529075.94999999995</v>
      </c>
      <c r="P140" s="4">
        <v>95978.83</v>
      </c>
    </row>
    <row r="141" spans="1:16" x14ac:dyDescent="0.35">
      <c r="A141" s="4" t="s">
        <v>58</v>
      </c>
      <c r="B141" s="5">
        <v>45658</v>
      </c>
      <c r="C141" s="4" t="s">
        <v>26</v>
      </c>
      <c r="D141" s="4" t="s">
        <v>18</v>
      </c>
      <c r="E141" s="4">
        <v>71320.66</v>
      </c>
      <c r="F141" s="4">
        <v>7888</v>
      </c>
      <c r="G141" s="4">
        <v>4.8000000000000001E-2</v>
      </c>
      <c r="H141" s="4">
        <v>20</v>
      </c>
      <c r="I141" s="4">
        <v>78.099999999999994</v>
      </c>
      <c r="J141" s="4">
        <v>3.4</v>
      </c>
      <c r="K141" s="4" t="s">
        <v>108</v>
      </c>
      <c r="L141" s="4">
        <v>0</v>
      </c>
      <c r="M141" s="4">
        <v>3.9</v>
      </c>
      <c r="N141" s="4" t="s">
        <v>109</v>
      </c>
      <c r="O141" s="4">
        <v>633638.03</v>
      </c>
      <c r="P141" s="4">
        <v>99402.01</v>
      </c>
    </row>
    <row r="142" spans="1:16" x14ac:dyDescent="0.35">
      <c r="A142" s="4" t="s">
        <v>58</v>
      </c>
      <c r="B142" s="5">
        <v>45689</v>
      </c>
      <c r="C142" s="4" t="s">
        <v>26</v>
      </c>
      <c r="D142" s="4" t="s">
        <v>18</v>
      </c>
      <c r="E142" s="4">
        <v>75109.67</v>
      </c>
      <c r="F142" s="4">
        <v>6244</v>
      </c>
      <c r="G142" s="4">
        <v>7.9000000000000001E-2</v>
      </c>
      <c r="H142" s="4">
        <v>15</v>
      </c>
      <c r="I142" s="4">
        <v>96.3</v>
      </c>
      <c r="J142" s="4">
        <v>7.38</v>
      </c>
      <c r="K142" s="4" t="s">
        <v>108</v>
      </c>
      <c r="L142" s="4">
        <v>0</v>
      </c>
      <c r="M142" s="4">
        <v>3.7</v>
      </c>
      <c r="N142" s="4" t="s">
        <v>108</v>
      </c>
      <c r="O142" s="4">
        <v>743348.84</v>
      </c>
      <c r="P142" s="4">
        <v>104186.09</v>
      </c>
    </row>
    <row r="143" spans="1:16" x14ac:dyDescent="0.35">
      <c r="A143" s="4" t="s">
        <v>58</v>
      </c>
      <c r="B143" s="5">
        <v>45717</v>
      </c>
      <c r="C143" s="4" t="s">
        <v>26</v>
      </c>
      <c r="D143" s="4" t="s">
        <v>18</v>
      </c>
      <c r="E143" s="4">
        <v>69779</v>
      </c>
      <c r="F143" s="4">
        <v>6544</v>
      </c>
      <c r="G143" s="4">
        <v>0.152</v>
      </c>
      <c r="H143" s="4">
        <v>18</v>
      </c>
      <c r="I143" s="4">
        <v>90.2</v>
      </c>
      <c r="J143" s="4">
        <v>0.85</v>
      </c>
      <c r="K143" s="4" t="s">
        <v>108</v>
      </c>
      <c r="L143" s="4">
        <v>1</v>
      </c>
      <c r="M143" s="4">
        <v>3.3</v>
      </c>
      <c r="N143" s="4" t="s">
        <v>108</v>
      </c>
      <c r="O143" s="4">
        <v>758827.64</v>
      </c>
      <c r="P143" s="4">
        <v>161439.48000000001</v>
      </c>
    </row>
    <row r="144" spans="1:16" x14ac:dyDescent="0.35">
      <c r="A144" s="4" t="s">
        <v>58</v>
      </c>
      <c r="B144" s="5">
        <v>45748</v>
      </c>
      <c r="C144" s="4" t="s">
        <v>26</v>
      </c>
      <c r="D144" s="4" t="s">
        <v>18</v>
      </c>
      <c r="E144" s="4">
        <v>44211.95</v>
      </c>
      <c r="F144" s="4">
        <v>5465</v>
      </c>
      <c r="G144" s="4">
        <v>0.187</v>
      </c>
      <c r="H144" s="4">
        <v>12</v>
      </c>
      <c r="I144" s="4">
        <v>90</v>
      </c>
      <c r="J144" s="4">
        <v>2.89</v>
      </c>
      <c r="K144" s="4" t="s">
        <v>108</v>
      </c>
      <c r="L144" s="4">
        <v>0</v>
      </c>
      <c r="M144" s="4">
        <v>3.6</v>
      </c>
      <c r="N144" s="4" t="s">
        <v>108</v>
      </c>
      <c r="O144" s="4">
        <v>646559.71</v>
      </c>
      <c r="P144" s="4">
        <v>97981.75</v>
      </c>
    </row>
    <row r="145" spans="1:16" x14ac:dyDescent="0.35">
      <c r="A145" s="4" t="s">
        <v>59</v>
      </c>
      <c r="B145" s="5">
        <v>45658</v>
      </c>
      <c r="C145" s="4" t="s">
        <v>29</v>
      </c>
      <c r="D145" s="4" t="s">
        <v>20</v>
      </c>
      <c r="E145" s="4">
        <v>51430.31</v>
      </c>
      <c r="F145" s="4">
        <v>6427</v>
      </c>
      <c r="G145" s="4">
        <v>0.23400000000000001</v>
      </c>
      <c r="H145" s="4">
        <v>14</v>
      </c>
      <c r="I145" s="4">
        <v>88.8</v>
      </c>
      <c r="J145" s="4">
        <v>0.77</v>
      </c>
      <c r="K145" s="4" t="s">
        <v>108</v>
      </c>
      <c r="L145" s="4">
        <v>0</v>
      </c>
      <c r="M145" s="4">
        <v>4.0999999999999996</v>
      </c>
      <c r="N145" s="4" t="s">
        <v>108</v>
      </c>
      <c r="O145" s="4">
        <v>715890.53</v>
      </c>
      <c r="P145" s="4">
        <v>109032.15</v>
      </c>
    </row>
    <row r="146" spans="1:16" x14ac:dyDescent="0.35">
      <c r="A146" s="4" t="s">
        <v>59</v>
      </c>
      <c r="B146" s="5">
        <v>45689</v>
      </c>
      <c r="C146" s="4" t="s">
        <v>29</v>
      </c>
      <c r="D146" s="4" t="s">
        <v>20</v>
      </c>
      <c r="E146" s="4">
        <v>45706.49</v>
      </c>
      <c r="F146" s="4">
        <v>6704</v>
      </c>
      <c r="G146" s="4">
        <v>3.7999999999999999E-2</v>
      </c>
      <c r="H146" s="4">
        <v>15</v>
      </c>
      <c r="I146" s="4">
        <v>94.2</v>
      </c>
      <c r="J146" s="4">
        <v>2.92</v>
      </c>
      <c r="K146" s="4" t="s">
        <v>108</v>
      </c>
      <c r="L146" s="4">
        <v>0</v>
      </c>
      <c r="M146" s="4">
        <v>4.2</v>
      </c>
      <c r="N146" s="4" t="s">
        <v>108</v>
      </c>
      <c r="O146" s="4">
        <v>715097.57</v>
      </c>
      <c r="P146" s="4">
        <v>151875.85999999999</v>
      </c>
    </row>
    <row r="147" spans="1:16" x14ac:dyDescent="0.35">
      <c r="A147" s="4" t="s">
        <v>59</v>
      </c>
      <c r="B147" s="5">
        <v>45717</v>
      </c>
      <c r="C147" s="4" t="s">
        <v>29</v>
      </c>
      <c r="D147" s="4" t="s">
        <v>20</v>
      </c>
      <c r="E147" s="4">
        <v>44034.6</v>
      </c>
      <c r="F147" s="4">
        <v>5645</v>
      </c>
      <c r="G147" s="4">
        <v>6.9000000000000006E-2</v>
      </c>
      <c r="H147" s="4">
        <v>18</v>
      </c>
      <c r="I147" s="4">
        <v>88.5</v>
      </c>
      <c r="J147" s="4">
        <v>3.07</v>
      </c>
      <c r="K147" s="4" t="s">
        <v>108</v>
      </c>
      <c r="L147" s="4">
        <v>0</v>
      </c>
      <c r="M147" s="4">
        <v>3.8</v>
      </c>
      <c r="N147" s="4" t="s">
        <v>108</v>
      </c>
      <c r="O147" s="4">
        <v>682639.28</v>
      </c>
      <c r="P147" s="4">
        <v>77557.53</v>
      </c>
    </row>
    <row r="148" spans="1:16" x14ac:dyDescent="0.35">
      <c r="A148" s="4" t="s">
        <v>59</v>
      </c>
      <c r="B148" s="5">
        <v>45748</v>
      </c>
      <c r="C148" s="4" t="s">
        <v>29</v>
      </c>
      <c r="D148" s="4" t="s">
        <v>20</v>
      </c>
      <c r="E148" s="4">
        <v>50198.12</v>
      </c>
      <c r="F148" s="4">
        <v>6089</v>
      </c>
      <c r="G148" s="4">
        <v>0.182</v>
      </c>
      <c r="H148" s="4">
        <v>19</v>
      </c>
      <c r="I148" s="4">
        <v>94</v>
      </c>
      <c r="J148" s="4">
        <v>9.6999999999999993</v>
      </c>
      <c r="K148" s="4" t="s">
        <v>108</v>
      </c>
      <c r="L148" s="4">
        <v>0</v>
      </c>
      <c r="M148" s="4">
        <v>3.9</v>
      </c>
      <c r="N148" s="4" t="s">
        <v>108</v>
      </c>
      <c r="O148" s="4">
        <v>695098.51</v>
      </c>
      <c r="P148" s="4">
        <v>108192.75</v>
      </c>
    </row>
    <row r="149" spans="1:16" x14ac:dyDescent="0.35">
      <c r="A149" s="4" t="s">
        <v>60</v>
      </c>
      <c r="B149" s="5">
        <v>45658</v>
      </c>
      <c r="C149" s="4" t="s">
        <v>22</v>
      </c>
      <c r="D149" s="4" t="s">
        <v>18</v>
      </c>
      <c r="E149" s="4">
        <v>70488.2</v>
      </c>
      <c r="F149" s="4">
        <v>4312</v>
      </c>
      <c r="G149" s="4">
        <v>0.16900000000000001</v>
      </c>
      <c r="H149" s="4">
        <v>12</v>
      </c>
      <c r="I149" s="4">
        <v>90.2</v>
      </c>
      <c r="J149" s="4">
        <v>3.71</v>
      </c>
      <c r="K149" s="4" t="s">
        <v>108</v>
      </c>
      <c r="L149" s="4">
        <v>0</v>
      </c>
      <c r="M149" s="4">
        <v>3.2</v>
      </c>
      <c r="N149" s="4" t="s">
        <v>108</v>
      </c>
      <c r="O149" s="4">
        <v>577732.56999999995</v>
      </c>
      <c r="P149" s="4">
        <v>93804.27</v>
      </c>
    </row>
    <row r="150" spans="1:16" x14ac:dyDescent="0.35">
      <c r="A150" s="4" t="s">
        <v>60</v>
      </c>
      <c r="B150" s="5">
        <v>45689</v>
      </c>
      <c r="C150" s="4" t="s">
        <v>22</v>
      </c>
      <c r="D150" s="4" t="s">
        <v>18</v>
      </c>
      <c r="E150" s="4">
        <v>50909.27</v>
      </c>
      <c r="F150" s="4">
        <v>3152</v>
      </c>
      <c r="G150" s="4">
        <v>0.06</v>
      </c>
      <c r="H150" s="4">
        <v>13</v>
      </c>
      <c r="I150" s="4">
        <v>93.7</v>
      </c>
      <c r="J150" s="4">
        <v>10.79</v>
      </c>
      <c r="K150" s="4" t="s">
        <v>108</v>
      </c>
      <c r="L150" s="4">
        <v>0</v>
      </c>
      <c r="M150" s="4">
        <v>3.5</v>
      </c>
      <c r="N150" s="4" t="s">
        <v>108</v>
      </c>
      <c r="O150" s="4">
        <v>537058.32999999996</v>
      </c>
      <c r="P150" s="4">
        <v>93555.71</v>
      </c>
    </row>
    <row r="151" spans="1:16" x14ac:dyDescent="0.35">
      <c r="A151" s="4" t="s">
        <v>60</v>
      </c>
      <c r="B151" s="5">
        <v>45717</v>
      </c>
      <c r="C151" s="4" t="s">
        <v>22</v>
      </c>
      <c r="D151" s="4" t="s">
        <v>18</v>
      </c>
      <c r="E151" s="4">
        <v>53351.7</v>
      </c>
      <c r="F151" s="4">
        <v>4259</v>
      </c>
      <c r="G151" s="4">
        <v>0.156</v>
      </c>
      <c r="H151" s="4">
        <v>15</v>
      </c>
      <c r="I151" s="4">
        <v>93.7</v>
      </c>
      <c r="J151" s="4">
        <v>6.03</v>
      </c>
      <c r="K151" s="4" t="s">
        <v>108</v>
      </c>
      <c r="L151" s="4">
        <v>0</v>
      </c>
      <c r="M151" s="4">
        <v>3.4</v>
      </c>
      <c r="N151" s="4" t="s">
        <v>108</v>
      </c>
      <c r="O151" s="4">
        <v>601568.87</v>
      </c>
      <c r="P151" s="4">
        <v>91634.82</v>
      </c>
    </row>
    <row r="152" spans="1:16" x14ac:dyDescent="0.35">
      <c r="A152" s="4" t="s">
        <v>60</v>
      </c>
      <c r="B152" s="5">
        <v>45748</v>
      </c>
      <c r="C152" s="4" t="s">
        <v>22</v>
      </c>
      <c r="D152" s="4" t="s">
        <v>18</v>
      </c>
      <c r="E152" s="4">
        <v>60322.400000000001</v>
      </c>
      <c r="F152" s="4">
        <v>3350</v>
      </c>
      <c r="G152" s="4">
        <v>0.108</v>
      </c>
      <c r="H152" s="4">
        <v>12</v>
      </c>
      <c r="I152" s="4">
        <v>89.4</v>
      </c>
      <c r="J152" s="4">
        <v>4.92</v>
      </c>
      <c r="K152" s="4" t="s">
        <v>108</v>
      </c>
      <c r="L152" s="4">
        <v>0</v>
      </c>
      <c r="M152" s="4">
        <v>3.4</v>
      </c>
      <c r="N152" s="4" t="s">
        <v>108</v>
      </c>
      <c r="O152" s="4">
        <v>570964.84</v>
      </c>
      <c r="P152" s="4">
        <v>81331.070000000007</v>
      </c>
    </row>
    <row r="153" spans="1:16" x14ac:dyDescent="0.35">
      <c r="A153" s="4" t="s">
        <v>61</v>
      </c>
      <c r="B153" s="5">
        <v>45658</v>
      </c>
      <c r="C153" s="4" t="s">
        <v>26</v>
      </c>
      <c r="D153" s="4" t="s">
        <v>30</v>
      </c>
      <c r="E153" s="4">
        <v>51575.68</v>
      </c>
      <c r="F153" s="4">
        <v>5329</v>
      </c>
      <c r="G153" s="4">
        <v>4.7E-2</v>
      </c>
      <c r="H153" s="4">
        <v>17</v>
      </c>
      <c r="I153" s="4">
        <v>88.1</v>
      </c>
      <c r="J153" s="4">
        <v>19.78</v>
      </c>
      <c r="K153" s="4" t="s">
        <v>108</v>
      </c>
      <c r="L153" s="4">
        <v>0</v>
      </c>
      <c r="M153" s="4">
        <v>3.8</v>
      </c>
      <c r="N153" s="4" t="s">
        <v>108</v>
      </c>
      <c r="O153" s="4">
        <v>614024.91</v>
      </c>
      <c r="P153" s="4">
        <v>84828.93</v>
      </c>
    </row>
    <row r="154" spans="1:16" x14ac:dyDescent="0.35">
      <c r="A154" s="4" t="s">
        <v>61</v>
      </c>
      <c r="B154" s="5">
        <v>45689</v>
      </c>
      <c r="C154" s="4" t="s">
        <v>26</v>
      </c>
      <c r="D154" s="4" t="s">
        <v>30</v>
      </c>
      <c r="E154" s="4">
        <v>43319.94</v>
      </c>
      <c r="F154" s="4">
        <v>6551</v>
      </c>
      <c r="G154" s="4">
        <v>4.3999999999999997E-2</v>
      </c>
      <c r="H154" s="4">
        <v>13</v>
      </c>
      <c r="I154" s="4">
        <v>99</v>
      </c>
      <c r="J154" s="4">
        <v>5.45</v>
      </c>
      <c r="K154" s="4" t="s">
        <v>108</v>
      </c>
      <c r="L154" s="4">
        <v>0</v>
      </c>
      <c r="M154" s="4">
        <v>4.0999999999999996</v>
      </c>
      <c r="N154" s="4" t="s">
        <v>108</v>
      </c>
      <c r="O154" s="4">
        <v>712868.35</v>
      </c>
      <c r="P154" s="4">
        <v>133650.51</v>
      </c>
    </row>
    <row r="155" spans="1:16" x14ac:dyDescent="0.35">
      <c r="A155" s="4" t="s">
        <v>61</v>
      </c>
      <c r="B155" s="5">
        <v>45717</v>
      </c>
      <c r="C155" s="4" t="s">
        <v>26</v>
      </c>
      <c r="D155" s="4" t="s">
        <v>30</v>
      </c>
      <c r="E155" s="4">
        <v>47093.55</v>
      </c>
      <c r="F155" s="4">
        <v>5550</v>
      </c>
      <c r="G155" s="4">
        <v>0.1</v>
      </c>
      <c r="H155" s="4">
        <v>12</v>
      </c>
      <c r="I155" s="4">
        <v>95</v>
      </c>
      <c r="J155" s="4">
        <v>2.33</v>
      </c>
      <c r="K155" s="4" t="s">
        <v>108</v>
      </c>
      <c r="L155" s="4">
        <v>1</v>
      </c>
      <c r="M155" s="4">
        <v>3.7</v>
      </c>
      <c r="N155" s="4" t="s">
        <v>108</v>
      </c>
      <c r="O155" s="4">
        <v>696744.15</v>
      </c>
      <c r="P155" s="4">
        <v>152230.09</v>
      </c>
    </row>
    <row r="156" spans="1:16" x14ac:dyDescent="0.35">
      <c r="A156" s="4" t="s">
        <v>61</v>
      </c>
      <c r="B156" s="5">
        <v>45748</v>
      </c>
      <c r="C156" s="4" t="s">
        <v>26</v>
      </c>
      <c r="D156" s="4" t="s">
        <v>30</v>
      </c>
      <c r="E156" s="4">
        <v>71855.09</v>
      </c>
      <c r="F156" s="4">
        <v>5911</v>
      </c>
      <c r="G156" s="4">
        <v>0.19700000000000001</v>
      </c>
      <c r="H156" s="4">
        <v>15</v>
      </c>
      <c r="I156" s="4">
        <v>94.3</v>
      </c>
      <c r="J156" s="4">
        <v>3.55</v>
      </c>
      <c r="K156" s="4" t="s">
        <v>108</v>
      </c>
      <c r="L156" s="4">
        <v>0</v>
      </c>
      <c r="M156" s="4">
        <v>4.0999999999999996</v>
      </c>
      <c r="N156" s="4" t="s">
        <v>108</v>
      </c>
      <c r="O156" s="4">
        <v>725847.99</v>
      </c>
      <c r="P156" s="4">
        <v>122698.73</v>
      </c>
    </row>
    <row r="157" spans="1:16" x14ac:dyDescent="0.35">
      <c r="A157" s="4" t="s">
        <v>62</v>
      </c>
      <c r="B157" s="5">
        <v>45658</v>
      </c>
      <c r="C157" s="4" t="s">
        <v>17</v>
      </c>
      <c r="D157" s="4" t="s">
        <v>20</v>
      </c>
      <c r="E157" s="4">
        <v>75645.23</v>
      </c>
      <c r="F157" s="4">
        <v>9674</v>
      </c>
      <c r="G157" s="4">
        <v>0.23400000000000001</v>
      </c>
      <c r="H157" s="4">
        <v>21</v>
      </c>
      <c r="I157" s="4">
        <v>87.4</v>
      </c>
      <c r="J157" s="4">
        <v>0.2</v>
      </c>
      <c r="K157" s="4" t="s">
        <v>108</v>
      </c>
      <c r="L157" s="4">
        <v>0</v>
      </c>
      <c r="M157" s="4">
        <v>4.5</v>
      </c>
      <c r="N157" s="4" t="s">
        <v>108</v>
      </c>
      <c r="O157" s="4">
        <v>785028.25</v>
      </c>
      <c r="P157" s="4">
        <v>110726.44</v>
      </c>
    </row>
    <row r="158" spans="1:16" x14ac:dyDescent="0.35">
      <c r="A158" s="4" t="s">
        <v>62</v>
      </c>
      <c r="B158" s="5">
        <v>45689</v>
      </c>
      <c r="C158" s="4" t="s">
        <v>17</v>
      </c>
      <c r="D158" s="4" t="s">
        <v>20</v>
      </c>
      <c r="E158" s="4">
        <v>64374.75</v>
      </c>
      <c r="F158" s="4">
        <v>6740</v>
      </c>
      <c r="G158" s="4">
        <v>0.16900000000000001</v>
      </c>
      <c r="H158" s="4">
        <v>18</v>
      </c>
      <c r="I158" s="4">
        <v>87</v>
      </c>
      <c r="J158" s="4">
        <v>2.09</v>
      </c>
      <c r="K158" s="4" t="s">
        <v>108</v>
      </c>
      <c r="L158" s="4">
        <v>0</v>
      </c>
      <c r="M158" s="4">
        <v>4.2</v>
      </c>
      <c r="N158" s="4" t="s">
        <v>108</v>
      </c>
      <c r="O158" s="4">
        <v>698492.67</v>
      </c>
      <c r="P158" s="4">
        <v>117319.32</v>
      </c>
    </row>
    <row r="159" spans="1:16" x14ac:dyDescent="0.35">
      <c r="A159" s="4" t="s">
        <v>62</v>
      </c>
      <c r="B159" s="5">
        <v>45717</v>
      </c>
      <c r="C159" s="4" t="s">
        <v>17</v>
      </c>
      <c r="D159" s="4" t="s">
        <v>20</v>
      </c>
      <c r="E159" s="4">
        <v>61433.84</v>
      </c>
      <c r="F159" s="4">
        <v>7745</v>
      </c>
      <c r="G159" s="4">
        <v>0.18</v>
      </c>
      <c r="H159" s="4">
        <v>16</v>
      </c>
      <c r="I159" s="4">
        <v>90.5</v>
      </c>
      <c r="J159" s="4">
        <v>2.2599999999999998</v>
      </c>
      <c r="K159" s="4" t="s">
        <v>108</v>
      </c>
      <c r="L159" s="4">
        <v>0</v>
      </c>
      <c r="M159" s="4">
        <v>4.2</v>
      </c>
      <c r="N159" s="4" t="s">
        <v>108</v>
      </c>
      <c r="O159" s="4">
        <v>685830.24</v>
      </c>
      <c r="P159" s="4">
        <v>128736.18</v>
      </c>
    </row>
    <row r="160" spans="1:16" x14ac:dyDescent="0.35">
      <c r="A160" s="4" t="s">
        <v>62</v>
      </c>
      <c r="B160" s="5">
        <v>45748</v>
      </c>
      <c r="C160" s="4" t="s">
        <v>17</v>
      </c>
      <c r="D160" s="4" t="s">
        <v>20</v>
      </c>
      <c r="E160" s="4">
        <v>42698.14</v>
      </c>
      <c r="F160" s="4">
        <v>7693</v>
      </c>
      <c r="G160" s="4">
        <v>0.187</v>
      </c>
      <c r="H160" s="4">
        <v>19</v>
      </c>
      <c r="I160" s="4">
        <v>90.1</v>
      </c>
      <c r="J160" s="4">
        <v>0.44</v>
      </c>
      <c r="K160" s="4" t="s">
        <v>108</v>
      </c>
      <c r="L160" s="4">
        <v>0</v>
      </c>
      <c r="M160" s="4">
        <v>4.4000000000000004</v>
      </c>
      <c r="N160" s="4" t="s">
        <v>108</v>
      </c>
      <c r="O160" s="4">
        <v>702318.94</v>
      </c>
      <c r="P160" s="4">
        <v>112829.29</v>
      </c>
    </row>
    <row r="161" spans="1:16" x14ac:dyDescent="0.35">
      <c r="A161" s="4" t="s">
        <v>63</v>
      </c>
      <c r="B161" s="5">
        <v>45658</v>
      </c>
      <c r="C161" s="4" t="s">
        <v>22</v>
      </c>
      <c r="D161" s="4" t="s">
        <v>30</v>
      </c>
      <c r="E161" s="4">
        <v>86883.31</v>
      </c>
      <c r="F161" s="4">
        <v>6424</v>
      </c>
      <c r="G161" s="4">
        <v>5.7000000000000002E-2</v>
      </c>
      <c r="H161" s="4">
        <v>19</v>
      </c>
      <c r="I161" s="4">
        <v>85.2</v>
      </c>
      <c r="J161" s="4">
        <v>3.08</v>
      </c>
      <c r="K161" s="4" t="s">
        <v>108</v>
      </c>
      <c r="L161" s="4">
        <v>0</v>
      </c>
      <c r="M161" s="4">
        <v>3.9</v>
      </c>
      <c r="N161" s="4" t="s">
        <v>108</v>
      </c>
      <c r="O161" s="4">
        <v>700078.32</v>
      </c>
      <c r="P161" s="4">
        <v>123707.58</v>
      </c>
    </row>
    <row r="162" spans="1:16" x14ac:dyDescent="0.35">
      <c r="A162" s="4" t="s">
        <v>63</v>
      </c>
      <c r="B162" s="5">
        <v>45689</v>
      </c>
      <c r="C162" s="4" t="s">
        <v>22</v>
      </c>
      <c r="D162" s="4" t="s">
        <v>30</v>
      </c>
      <c r="E162" s="4">
        <v>41863.08</v>
      </c>
      <c r="F162" s="4">
        <v>5400</v>
      </c>
      <c r="G162" s="4">
        <v>0.114</v>
      </c>
      <c r="H162" s="4">
        <v>11</v>
      </c>
      <c r="I162" s="4">
        <v>91.6</v>
      </c>
      <c r="J162" s="4">
        <v>7.99</v>
      </c>
      <c r="K162" s="4" t="s">
        <v>108</v>
      </c>
      <c r="L162" s="4">
        <v>0</v>
      </c>
      <c r="M162" s="4">
        <v>3</v>
      </c>
      <c r="N162" s="4" t="s">
        <v>108</v>
      </c>
      <c r="O162" s="4">
        <v>602002.31999999995</v>
      </c>
      <c r="P162" s="4">
        <v>110453.28</v>
      </c>
    </row>
    <row r="163" spans="1:16" x14ac:dyDescent="0.35">
      <c r="A163" s="4" t="s">
        <v>63</v>
      </c>
      <c r="B163" s="5">
        <v>45717</v>
      </c>
      <c r="C163" s="4" t="s">
        <v>22</v>
      </c>
      <c r="D163" s="4" t="s">
        <v>30</v>
      </c>
      <c r="E163" s="4">
        <v>56918.16</v>
      </c>
      <c r="F163" s="4">
        <v>7015</v>
      </c>
      <c r="G163" s="4">
        <v>0.158</v>
      </c>
      <c r="H163" s="4">
        <v>18</v>
      </c>
      <c r="I163" s="4">
        <v>74.2</v>
      </c>
      <c r="J163" s="4">
        <v>0.2</v>
      </c>
      <c r="K163" s="4" t="s">
        <v>108</v>
      </c>
      <c r="L163" s="4">
        <v>0</v>
      </c>
      <c r="M163" s="4">
        <v>3.4</v>
      </c>
      <c r="N163" s="4" t="s">
        <v>108</v>
      </c>
      <c r="O163" s="4">
        <v>724216.07</v>
      </c>
      <c r="P163" s="4">
        <v>100627.56</v>
      </c>
    </row>
    <row r="164" spans="1:16" x14ac:dyDescent="0.35">
      <c r="A164" s="4" t="s">
        <v>63</v>
      </c>
      <c r="B164" s="5">
        <v>45748</v>
      </c>
      <c r="C164" s="4" t="s">
        <v>22</v>
      </c>
      <c r="D164" s="4" t="s">
        <v>30</v>
      </c>
      <c r="E164" s="4">
        <v>23254.57</v>
      </c>
      <c r="F164" s="4">
        <v>3847</v>
      </c>
      <c r="G164" s="4">
        <v>0.159</v>
      </c>
      <c r="H164" s="4">
        <v>12</v>
      </c>
      <c r="I164" s="4">
        <v>93</v>
      </c>
      <c r="J164" s="4">
        <v>5.46</v>
      </c>
      <c r="K164" s="4" t="s">
        <v>108</v>
      </c>
      <c r="L164" s="4">
        <v>0</v>
      </c>
      <c r="M164" s="4">
        <v>3.3</v>
      </c>
      <c r="N164" s="4" t="s">
        <v>108</v>
      </c>
      <c r="O164" s="4">
        <v>620973.03</v>
      </c>
      <c r="P164" s="4">
        <v>72303.850000000006</v>
      </c>
    </row>
    <row r="165" spans="1:16" x14ac:dyDescent="0.35">
      <c r="A165" s="4" t="s">
        <v>64</v>
      </c>
      <c r="B165" s="5">
        <v>45658</v>
      </c>
      <c r="C165" s="4" t="s">
        <v>26</v>
      </c>
      <c r="D165" s="4" t="s">
        <v>20</v>
      </c>
      <c r="E165" s="4">
        <v>41443.410000000003</v>
      </c>
      <c r="F165" s="4">
        <v>7455</v>
      </c>
      <c r="G165" s="4">
        <v>0.17499999999999999</v>
      </c>
      <c r="H165" s="4">
        <v>16</v>
      </c>
      <c r="I165" s="4">
        <v>90.1</v>
      </c>
      <c r="J165" s="4">
        <v>4.05</v>
      </c>
      <c r="K165" s="4" t="s">
        <v>108</v>
      </c>
      <c r="L165" s="4">
        <v>0</v>
      </c>
      <c r="M165" s="4">
        <v>4</v>
      </c>
      <c r="N165" s="4" t="s">
        <v>108</v>
      </c>
      <c r="O165" s="4">
        <v>650480.06000000006</v>
      </c>
      <c r="P165" s="4">
        <v>109012.07</v>
      </c>
    </row>
    <row r="166" spans="1:16" x14ac:dyDescent="0.35">
      <c r="A166" s="4" t="s">
        <v>64</v>
      </c>
      <c r="B166" s="5">
        <v>45689</v>
      </c>
      <c r="C166" s="4" t="s">
        <v>26</v>
      </c>
      <c r="D166" s="4" t="s">
        <v>20</v>
      </c>
      <c r="E166" s="4">
        <v>48438.85</v>
      </c>
      <c r="F166" s="4">
        <v>6992</v>
      </c>
      <c r="G166" s="4">
        <v>3.4000000000000002E-2</v>
      </c>
      <c r="H166" s="4">
        <v>20</v>
      </c>
      <c r="I166" s="4">
        <v>91</v>
      </c>
      <c r="J166" s="4">
        <v>4.3600000000000003</v>
      </c>
      <c r="K166" s="4" t="s">
        <v>108</v>
      </c>
      <c r="L166" s="4">
        <v>0</v>
      </c>
      <c r="M166" s="4">
        <v>4.2</v>
      </c>
      <c r="N166" s="4" t="s">
        <v>108</v>
      </c>
      <c r="O166" s="4">
        <v>778298.88</v>
      </c>
      <c r="P166" s="4">
        <v>130076.72</v>
      </c>
    </row>
    <row r="167" spans="1:16" x14ac:dyDescent="0.35">
      <c r="A167" s="4" t="s">
        <v>64</v>
      </c>
      <c r="B167" s="5">
        <v>45717</v>
      </c>
      <c r="C167" s="4" t="s">
        <v>26</v>
      </c>
      <c r="D167" s="4" t="s">
        <v>20</v>
      </c>
      <c r="E167" s="4">
        <v>57143.3</v>
      </c>
      <c r="F167" s="4">
        <v>8038</v>
      </c>
      <c r="G167" s="4">
        <v>0.193</v>
      </c>
      <c r="H167" s="4">
        <v>17</v>
      </c>
      <c r="I167" s="4">
        <v>72.599999999999994</v>
      </c>
      <c r="J167" s="4">
        <v>3.3650000000000002</v>
      </c>
      <c r="K167" s="4" t="s">
        <v>109</v>
      </c>
      <c r="L167" s="4">
        <v>0</v>
      </c>
      <c r="M167" s="4">
        <v>4.2</v>
      </c>
      <c r="N167" s="4" t="s">
        <v>108</v>
      </c>
      <c r="O167" s="4">
        <v>677096.71</v>
      </c>
      <c r="P167" s="4">
        <v>97174.11</v>
      </c>
    </row>
    <row r="168" spans="1:16" x14ac:dyDescent="0.35">
      <c r="A168" s="4" t="s">
        <v>64</v>
      </c>
      <c r="B168" s="5">
        <v>45748</v>
      </c>
      <c r="C168" s="4" t="s">
        <v>26</v>
      </c>
      <c r="D168" s="4" t="s">
        <v>20</v>
      </c>
      <c r="E168" s="4">
        <v>66870.62</v>
      </c>
      <c r="F168" s="4">
        <v>6055</v>
      </c>
      <c r="G168" s="4">
        <v>7.4999999999999997E-2</v>
      </c>
      <c r="H168" s="4">
        <v>19</v>
      </c>
      <c r="I168" s="4">
        <v>93.8</v>
      </c>
      <c r="J168" s="4">
        <v>0.54</v>
      </c>
      <c r="K168" s="4" t="s">
        <v>108</v>
      </c>
      <c r="L168" s="4">
        <v>0</v>
      </c>
      <c r="M168" s="4">
        <v>4.3</v>
      </c>
      <c r="N168" s="4" t="s">
        <v>108</v>
      </c>
      <c r="O168" s="4">
        <v>692008.64</v>
      </c>
      <c r="P168" s="4">
        <v>116337.87</v>
      </c>
    </row>
    <row r="169" spans="1:16" x14ac:dyDescent="0.35">
      <c r="A169" s="4" t="s">
        <v>65</v>
      </c>
      <c r="B169" s="5">
        <v>45658</v>
      </c>
      <c r="C169" s="4" t="s">
        <v>22</v>
      </c>
      <c r="D169" s="4" t="s">
        <v>30</v>
      </c>
      <c r="E169" s="4">
        <v>72150.53</v>
      </c>
      <c r="F169" s="4">
        <v>9323</v>
      </c>
      <c r="G169" s="4">
        <v>0.157</v>
      </c>
      <c r="H169" s="4">
        <v>22</v>
      </c>
      <c r="I169" s="4">
        <v>82.9</v>
      </c>
      <c r="J169" s="4">
        <v>11.37</v>
      </c>
      <c r="K169" s="4" t="s">
        <v>108</v>
      </c>
      <c r="L169" s="4">
        <v>1</v>
      </c>
      <c r="M169" s="4">
        <v>4.3</v>
      </c>
      <c r="N169" s="4" t="s">
        <v>108</v>
      </c>
      <c r="O169" s="4">
        <v>825797.91</v>
      </c>
      <c r="P169" s="4">
        <v>130945.24</v>
      </c>
    </row>
    <row r="170" spans="1:16" x14ac:dyDescent="0.35">
      <c r="A170" s="4" t="s">
        <v>65</v>
      </c>
      <c r="B170" s="5">
        <v>45689</v>
      </c>
      <c r="C170" s="4" t="s">
        <v>22</v>
      </c>
      <c r="D170" s="4" t="s">
        <v>30</v>
      </c>
      <c r="E170" s="4">
        <v>35303.300000000003</v>
      </c>
      <c r="F170" s="4">
        <v>8789</v>
      </c>
      <c r="G170" s="4">
        <v>0.123</v>
      </c>
      <c r="H170" s="4">
        <v>22</v>
      </c>
      <c r="I170" s="4">
        <v>86.1</v>
      </c>
      <c r="J170" s="4">
        <v>9.43</v>
      </c>
      <c r="K170" s="4" t="s">
        <v>108</v>
      </c>
      <c r="L170" s="4">
        <v>0</v>
      </c>
      <c r="M170" s="4">
        <v>4.2</v>
      </c>
      <c r="N170" s="4" t="s">
        <v>108</v>
      </c>
      <c r="O170" s="4">
        <v>706285.52</v>
      </c>
      <c r="P170" s="4">
        <v>138014.72</v>
      </c>
    </row>
    <row r="171" spans="1:16" x14ac:dyDescent="0.35">
      <c r="A171" s="4" t="s">
        <v>65</v>
      </c>
      <c r="B171" s="5">
        <v>45717</v>
      </c>
      <c r="C171" s="4" t="s">
        <v>22</v>
      </c>
      <c r="D171" s="4" t="s">
        <v>30</v>
      </c>
      <c r="E171" s="4">
        <v>30301.86</v>
      </c>
      <c r="F171" s="4">
        <v>6939</v>
      </c>
      <c r="G171" s="4">
        <v>0.09</v>
      </c>
      <c r="H171" s="4">
        <v>16</v>
      </c>
      <c r="I171" s="4">
        <v>90.3</v>
      </c>
      <c r="J171" s="4">
        <v>3.49</v>
      </c>
      <c r="K171" s="4" t="s">
        <v>108</v>
      </c>
      <c r="L171" s="4">
        <v>0</v>
      </c>
      <c r="M171" s="4">
        <v>4</v>
      </c>
      <c r="N171" s="4" t="s">
        <v>108</v>
      </c>
      <c r="O171" s="4">
        <v>665534.69999999995</v>
      </c>
      <c r="P171" s="4">
        <v>113167.73</v>
      </c>
    </row>
    <row r="172" spans="1:16" x14ac:dyDescent="0.35">
      <c r="A172" s="4" t="s">
        <v>65</v>
      </c>
      <c r="B172" s="5">
        <v>45748</v>
      </c>
      <c r="C172" s="4" t="s">
        <v>22</v>
      </c>
      <c r="D172" s="4" t="s">
        <v>30</v>
      </c>
      <c r="E172" s="4">
        <v>78432.14</v>
      </c>
      <c r="F172" s="4">
        <v>9440</v>
      </c>
      <c r="G172" s="4">
        <v>0.126</v>
      </c>
      <c r="H172" s="4">
        <v>23</v>
      </c>
      <c r="I172" s="4">
        <v>89.2</v>
      </c>
      <c r="J172" s="4">
        <v>7.86</v>
      </c>
      <c r="K172" s="4" t="s">
        <v>108</v>
      </c>
      <c r="L172" s="4">
        <v>0</v>
      </c>
      <c r="M172" s="4">
        <v>4.0999999999999996</v>
      </c>
      <c r="N172" s="4" t="s">
        <v>108</v>
      </c>
      <c r="O172" s="4">
        <v>820729.29</v>
      </c>
      <c r="P172" s="4">
        <v>159325.47</v>
      </c>
    </row>
    <row r="173" spans="1:16" x14ac:dyDescent="0.35">
      <c r="A173" s="4" t="s">
        <v>66</v>
      </c>
      <c r="B173" s="5">
        <v>45658</v>
      </c>
      <c r="C173" s="4" t="s">
        <v>17</v>
      </c>
      <c r="D173" s="4" t="s">
        <v>18</v>
      </c>
      <c r="E173" s="4">
        <v>62059.18</v>
      </c>
      <c r="F173" s="4">
        <v>9374</v>
      </c>
      <c r="G173" s="4">
        <v>0.13600000000000001</v>
      </c>
      <c r="H173" s="4">
        <v>25</v>
      </c>
      <c r="I173" s="4">
        <v>87.1</v>
      </c>
      <c r="J173" s="4">
        <v>12.55</v>
      </c>
      <c r="K173" s="4" t="s">
        <v>108</v>
      </c>
      <c r="L173" s="4">
        <v>0</v>
      </c>
      <c r="M173" s="4">
        <v>4.9000000000000004</v>
      </c>
      <c r="N173" s="4" t="s">
        <v>108</v>
      </c>
      <c r="O173" s="4">
        <v>739831.73</v>
      </c>
      <c r="P173" s="4">
        <v>119490.21</v>
      </c>
    </row>
    <row r="174" spans="1:16" x14ac:dyDescent="0.35">
      <c r="A174" s="4" t="s">
        <v>66</v>
      </c>
      <c r="B174" s="5">
        <v>45689</v>
      </c>
      <c r="C174" s="4" t="s">
        <v>17</v>
      </c>
      <c r="D174" s="4" t="s">
        <v>18</v>
      </c>
      <c r="E174" s="4">
        <v>32834.480000000003</v>
      </c>
      <c r="F174" s="4">
        <v>7576</v>
      </c>
      <c r="G174" s="4">
        <v>9.9000000000000005E-2</v>
      </c>
      <c r="H174" s="4">
        <v>15</v>
      </c>
      <c r="I174" s="4">
        <v>84.1</v>
      </c>
      <c r="J174" s="4">
        <v>3.48</v>
      </c>
      <c r="K174" s="4" t="s">
        <v>108</v>
      </c>
      <c r="L174" s="4">
        <v>0</v>
      </c>
      <c r="M174" s="4">
        <v>5</v>
      </c>
      <c r="N174" s="4" t="s">
        <v>108</v>
      </c>
      <c r="O174" s="4">
        <v>593637.14</v>
      </c>
      <c r="P174" s="4">
        <v>106648.14</v>
      </c>
    </row>
    <row r="175" spans="1:16" x14ac:dyDescent="0.35">
      <c r="A175" s="4" t="s">
        <v>66</v>
      </c>
      <c r="B175" s="5">
        <v>45717</v>
      </c>
      <c r="C175" s="4" t="s">
        <v>17</v>
      </c>
      <c r="D175" s="4" t="s">
        <v>18</v>
      </c>
      <c r="E175" s="4">
        <v>50825.08</v>
      </c>
      <c r="F175" s="4">
        <v>8949</v>
      </c>
      <c r="G175" s="4">
        <v>0.157</v>
      </c>
      <c r="H175" s="4">
        <v>21</v>
      </c>
      <c r="I175" s="4">
        <v>84.7</v>
      </c>
      <c r="J175" s="4">
        <v>7.73</v>
      </c>
      <c r="K175" s="4" t="s">
        <v>108</v>
      </c>
      <c r="L175" s="4">
        <v>0</v>
      </c>
      <c r="M175" s="4">
        <v>4.9000000000000004</v>
      </c>
      <c r="N175" s="4" t="s">
        <v>108</v>
      </c>
      <c r="O175" s="4">
        <v>769702.76</v>
      </c>
      <c r="P175" s="4">
        <v>158697</v>
      </c>
    </row>
    <row r="176" spans="1:16" x14ac:dyDescent="0.35">
      <c r="A176" s="4" t="s">
        <v>66</v>
      </c>
      <c r="B176" s="5">
        <v>45748</v>
      </c>
      <c r="C176" s="4" t="s">
        <v>17</v>
      </c>
      <c r="D176" s="4" t="s">
        <v>18</v>
      </c>
      <c r="E176" s="4">
        <v>36606.51</v>
      </c>
      <c r="F176" s="4">
        <v>7671</v>
      </c>
      <c r="G176" s="4">
        <v>0.11799999999999999</v>
      </c>
      <c r="H176" s="4">
        <v>18</v>
      </c>
      <c r="I176" s="4">
        <v>89.8</v>
      </c>
      <c r="J176" s="4">
        <v>0.25</v>
      </c>
      <c r="K176" s="4" t="s">
        <v>108</v>
      </c>
      <c r="L176" s="4">
        <v>0</v>
      </c>
      <c r="M176" s="4">
        <v>4.4000000000000004</v>
      </c>
      <c r="N176" s="4" t="s">
        <v>108</v>
      </c>
      <c r="O176" s="4">
        <v>679731.57</v>
      </c>
      <c r="P176" s="4">
        <v>121546.42</v>
      </c>
    </row>
    <row r="177" spans="1:16" x14ac:dyDescent="0.35">
      <c r="A177" s="4" t="s">
        <v>67</v>
      </c>
      <c r="B177" s="5">
        <v>45658</v>
      </c>
      <c r="C177" s="4" t="s">
        <v>17</v>
      </c>
      <c r="D177" s="4" t="s">
        <v>18</v>
      </c>
      <c r="E177" s="4">
        <v>65237.79</v>
      </c>
      <c r="F177" s="4">
        <v>8741</v>
      </c>
      <c r="G177" s="4">
        <v>0.157</v>
      </c>
      <c r="H177" s="4">
        <v>20</v>
      </c>
      <c r="I177" s="4">
        <v>94.4</v>
      </c>
      <c r="J177" s="4">
        <v>6.43</v>
      </c>
      <c r="K177" s="4" t="s">
        <v>108</v>
      </c>
      <c r="L177" s="4">
        <v>0</v>
      </c>
      <c r="M177" s="4">
        <v>3.3</v>
      </c>
      <c r="N177" s="4" t="s">
        <v>108</v>
      </c>
      <c r="O177" s="4">
        <v>780344.18</v>
      </c>
      <c r="P177" s="4">
        <v>118239.09</v>
      </c>
    </row>
    <row r="178" spans="1:16" x14ac:dyDescent="0.35">
      <c r="A178" s="4" t="s">
        <v>67</v>
      </c>
      <c r="B178" s="5">
        <v>45689</v>
      </c>
      <c r="C178" s="4" t="s">
        <v>17</v>
      </c>
      <c r="D178" s="4" t="s">
        <v>18</v>
      </c>
      <c r="E178" s="4">
        <v>43645.98</v>
      </c>
      <c r="F178" s="4">
        <v>9480</v>
      </c>
      <c r="G178" s="4">
        <v>0.109</v>
      </c>
      <c r="H178" s="4">
        <v>22</v>
      </c>
      <c r="I178" s="4">
        <v>89</v>
      </c>
      <c r="J178" s="4">
        <v>2.11</v>
      </c>
      <c r="K178" s="4" t="s">
        <v>108</v>
      </c>
      <c r="L178" s="4">
        <v>0</v>
      </c>
      <c r="M178" s="4">
        <v>3.1</v>
      </c>
      <c r="N178" s="4" t="s">
        <v>108</v>
      </c>
      <c r="O178" s="4">
        <v>721364.11</v>
      </c>
      <c r="P178" s="4">
        <v>147272.81</v>
      </c>
    </row>
    <row r="179" spans="1:16" x14ac:dyDescent="0.35">
      <c r="A179" s="4" t="s">
        <v>67</v>
      </c>
      <c r="B179" s="5">
        <v>45717</v>
      </c>
      <c r="C179" s="4" t="s">
        <v>17</v>
      </c>
      <c r="D179" s="4" t="s">
        <v>18</v>
      </c>
      <c r="E179" s="4">
        <v>68040.149999999994</v>
      </c>
      <c r="F179" s="4">
        <v>9826</v>
      </c>
      <c r="G179" s="4">
        <v>0.125</v>
      </c>
      <c r="H179" s="4">
        <v>20</v>
      </c>
      <c r="I179" s="4">
        <v>83.9</v>
      </c>
      <c r="J179" s="4">
        <v>9.1199999999999992</v>
      </c>
      <c r="K179" s="4" t="s">
        <v>108</v>
      </c>
      <c r="L179" s="4">
        <v>0</v>
      </c>
      <c r="M179" s="4">
        <v>3.6</v>
      </c>
      <c r="N179" s="4" t="s">
        <v>108</v>
      </c>
      <c r="O179" s="4">
        <v>758138.29</v>
      </c>
      <c r="P179" s="4">
        <v>132975.26</v>
      </c>
    </row>
    <row r="180" spans="1:16" x14ac:dyDescent="0.35">
      <c r="A180" s="4" t="s">
        <v>67</v>
      </c>
      <c r="B180" s="5">
        <v>45748</v>
      </c>
      <c r="C180" s="4" t="s">
        <v>17</v>
      </c>
      <c r="D180" s="4" t="s">
        <v>18</v>
      </c>
      <c r="E180" s="4">
        <v>63043.94</v>
      </c>
      <c r="F180" s="4">
        <v>10402</v>
      </c>
      <c r="G180" s="4">
        <v>0.159</v>
      </c>
      <c r="H180" s="4">
        <v>23</v>
      </c>
      <c r="I180" s="4">
        <v>93.9</v>
      </c>
      <c r="J180" s="4">
        <v>2.71</v>
      </c>
      <c r="K180" s="4" t="s">
        <v>108</v>
      </c>
      <c r="L180" s="4">
        <v>0</v>
      </c>
      <c r="M180" s="4">
        <v>3.1</v>
      </c>
      <c r="N180" s="4" t="s">
        <v>108</v>
      </c>
      <c r="O180" s="4">
        <v>804264</v>
      </c>
      <c r="P180" s="4">
        <v>167117.91</v>
      </c>
    </row>
    <row r="181" spans="1:16" x14ac:dyDescent="0.35">
      <c r="A181" s="4" t="s">
        <v>68</v>
      </c>
      <c r="B181" s="5">
        <v>45658</v>
      </c>
      <c r="C181" s="4" t="s">
        <v>29</v>
      </c>
      <c r="D181" s="4" t="s">
        <v>23</v>
      </c>
      <c r="E181" s="4">
        <v>67494.09</v>
      </c>
      <c r="F181" s="4">
        <v>12361</v>
      </c>
      <c r="G181" s="4">
        <v>4.5999999999999999E-2</v>
      </c>
      <c r="H181" s="4">
        <v>24</v>
      </c>
      <c r="I181" s="4">
        <v>76.599999999999994</v>
      </c>
      <c r="J181" s="4">
        <v>3.65</v>
      </c>
      <c r="K181" s="4" t="s">
        <v>108</v>
      </c>
      <c r="L181" s="4">
        <v>1</v>
      </c>
      <c r="M181" s="4">
        <v>3.7</v>
      </c>
      <c r="N181" s="4" t="s">
        <v>108</v>
      </c>
      <c r="O181" s="4">
        <v>887537.75</v>
      </c>
      <c r="P181" s="4">
        <v>160362.92000000001</v>
      </c>
    </row>
    <row r="182" spans="1:16" x14ac:dyDescent="0.35">
      <c r="A182" s="4" t="s">
        <v>68</v>
      </c>
      <c r="B182" s="5">
        <v>45689</v>
      </c>
      <c r="C182" s="4" t="s">
        <v>29</v>
      </c>
      <c r="D182" s="4" t="s">
        <v>23</v>
      </c>
      <c r="E182" s="4">
        <v>29389.32</v>
      </c>
      <c r="F182" s="4">
        <v>7925</v>
      </c>
      <c r="G182" s="4">
        <v>0.17699999999999999</v>
      </c>
      <c r="H182" s="4">
        <v>21</v>
      </c>
      <c r="I182" s="4">
        <v>90.9</v>
      </c>
      <c r="J182" s="4">
        <v>7.86</v>
      </c>
      <c r="K182" s="4" t="s">
        <v>108</v>
      </c>
      <c r="L182" s="4">
        <v>0</v>
      </c>
      <c r="M182" s="4">
        <v>4</v>
      </c>
      <c r="N182" s="4" t="s">
        <v>108</v>
      </c>
      <c r="O182" s="4">
        <v>783582</v>
      </c>
      <c r="P182" s="4">
        <v>130670.93</v>
      </c>
    </row>
    <row r="183" spans="1:16" x14ac:dyDescent="0.35">
      <c r="A183" s="4" t="s">
        <v>68</v>
      </c>
      <c r="B183" s="5">
        <v>45717</v>
      </c>
      <c r="C183" s="4" t="s">
        <v>29</v>
      </c>
      <c r="D183" s="4" t="s">
        <v>23</v>
      </c>
      <c r="E183" s="4">
        <v>40535.089999999997</v>
      </c>
      <c r="F183" s="4">
        <v>8870</v>
      </c>
      <c r="G183" s="4">
        <v>4.1000000000000002E-2</v>
      </c>
      <c r="H183" s="4">
        <v>21</v>
      </c>
      <c r="I183" s="4">
        <v>86.6</v>
      </c>
      <c r="J183" s="4">
        <v>0.3</v>
      </c>
      <c r="K183" s="4" t="s">
        <v>108</v>
      </c>
      <c r="L183" s="4">
        <v>0</v>
      </c>
      <c r="M183" s="4">
        <v>4.0999999999999996</v>
      </c>
      <c r="N183" s="4" t="s">
        <v>108</v>
      </c>
      <c r="O183" s="4">
        <v>781955.52</v>
      </c>
      <c r="P183" s="4">
        <v>152578.71</v>
      </c>
    </row>
    <row r="184" spans="1:16" x14ac:dyDescent="0.35">
      <c r="A184" s="4" t="s">
        <v>68</v>
      </c>
      <c r="B184" s="5">
        <v>45748</v>
      </c>
      <c r="C184" s="4" t="s">
        <v>29</v>
      </c>
      <c r="D184" s="4" t="s">
        <v>23</v>
      </c>
      <c r="E184" s="4">
        <v>74881.56</v>
      </c>
      <c r="F184" s="4">
        <v>9999</v>
      </c>
      <c r="G184" s="4">
        <v>1.2999999999999999E-2</v>
      </c>
      <c r="H184" s="4">
        <v>20</v>
      </c>
      <c r="I184" s="4">
        <v>89.6</v>
      </c>
      <c r="J184" s="4">
        <v>8.44</v>
      </c>
      <c r="K184" s="4" t="s">
        <v>108</v>
      </c>
      <c r="L184" s="4">
        <v>0</v>
      </c>
      <c r="M184" s="4">
        <v>4.0999999999999996</v>
      </c>
      <c r="N184" s="4" t="s">
        <v>108</v>
      </c>
      <c r="O184" s="4">
        <v>898031.04</v>
      </c>
      <c r="P184" s="4">
        <v>138666.5</v>
      </c>
    </row>
    <row r="185" spans="1:16" x14ac:dyDescent="0.35">
      <c r="A185" s="4" t="s">
        <v>69</v>
      </c>
      <c r="B185" s="5">
        <v>45658</v>
      </c>
      <c r="C185" s="4" t="s">
        <v>29</v>
      </c>
      <c r="D185" s="4" t="s">
        <v>18</v>
      </c>
      <c r="E185" s="4">
        <v>68491.11</v>
      </c>
      <c r="F185" s="4">
        <v>11154</v>
      </c>
      <c r="G185" s="4">
        <v>1E-3</v>
      </c>
      <c r="H185" s="4">
        <v>24</v>
      </c>
      <c r="I185" s="4">
        <v>89.4</v>
      </c>
      <c r="J185" s="4">
        <v>5.27</v>
      </c>
      <c r="K185" s="4" t="s">
        <v>108</v>
      </c>
      <c r="L185" s="4">
        <v>1</v>
      </c>
      <c r="M185" s="4">
        <v>3.9</v>
      </c>
      <c r="N185" s="4" t="s">
        <v>108</v>
      </c>
      <c r="O185" s="4">
        <v>855341.28</v>
      </c>
      <c r="P185" s="4">
        <v>175823.8</v>
      </c>
    </row>
    <row r="186" spans="1:16" x14ac:dyDescent="0.35">
      <c r="A186" s="4" t="s">
        <v>69</v>
      </c>
      <c r="B186" s="5">
        <v>45689</v>
      </c>
      <c r="C186" s="4" t="s">
        <v>29</v>
      </c>
      <c r="D186" s="4" t="s">
        <v>18</v>
      </c>
      <c r="E186" s="4">
        <v>45209.25</v>
      </c>
      <c r="F186" s="4">
        <v>9287</v>
      </c>
      <c r="G186" s="4">
        <v>0.14099999999999999</v>
      </c>
      <c r="H186" s="4">
        <v>22</v>
      </c>
      <c r="I186" s="4">
        <v>86.4</v>
      </c>
      <c r="J186" s="4">
        <v>13.22</v>
      </c>
      <c r="K186" s="4" t="s">
        <v>108</v>
      </c>
      <c r="L186" s="4">
        <v>0</v>
      </c>
      <c r="M186" s="4">
        <v>3.6</v>
      </c>
      <c r="N186" s="4" t="s">
        <v>108</v>
      </c>
      <c r="O186" s="4">
        <v>751393.88</v>
      </c>
      <c r="P186" s="4">
        <v>91480.320000000007</v>
      </c>
    </row>
    <row r="187" spans="1:16" x14ac:dyDescent="0.35">
      <c r="A187" s="4" t="s">
        <v>69</v>
      </c>
      <c r="B187" s="5">
        <v>45717</v>
      </c>
      <c r="C187" s="4" t="s">
        <v>29</v>
      </c>
      <c r="D187" s="4" t="s">
        <v>18</v>
      </c>
      <c r="E187" s="4">
        <v>63010.23</v>
      </c>
      <c r="F187" s="4">
        <v>9812</v>
      </c>
      <c r="G187" s="4">
        <v>0.113</v>
      </c>
      <c r="H187" s="4">
        <v>24</v>
      </c>
      <c r="I187" s="4">
        <v>76.8</v>
      </c>
      <c r="J187" s="4">
        <v>1.02</v>
      </c>
      <c r="K187" s="4" t="s">
        <v>108</v>
      </c>
      <c r="L187" s="4">
        <v>1</v>
      </c>
      <c r="M187" s="4">
        <v>3.8</v>
      </c>
      <c r="N187" s="4" t="s">
        <v>108</v>
      </c>
      <c r="O187" s="4">
        <v>761077.08</v>
      </c>
      <c r="P187" s="4">
        <v>113605.93</v>
      </c>
    </row>
    <row r="188" spans="1:16" x14ac:dyDescent="0.35">
      <c r="A188" s="4" t="s">
        <v>69</v>
      </c>
      <c r="B188" s="5">
        <v>45748</v>
      </c>
      <c r="C188" s="4" t="s">
        <v>29</v>
      </c>
      <c r="D188" s="4" t="s">
        <v>18</v>
      </c>
      <c r="E188" s="4">
        <v>57948.88</v>
      </c>
      <c r="F188" s="4">
        <v>10741</v>
      </c>
      <c r="G188" s="4">
        <v>7.0000000000000007E-2</v>
      </c>
      <c r="H188" s="4">
        <v>25</v>
      </c>
      <c r="I188" s="4">
        <v>90.1</v>
      </c>
      <c r="J188" s="4">
        <v>4.03</v>
      </c>
      <c r="K188" s="4" t="s">
        <v>108</v>
      </c>
      <c r="L188" s="4">
        <v>0</v>
      </c>
      <c r="M188" s="4">
        <v>3.1</v>
      </c>
      <c r="N188" s="4" t="s">
        <v>108</v>
      </c>
      <c r="O188" s="4">
        <v>819660.59</v>
      </c>
      <c r="P188" s="4">
        <v>172699.95</v>
      </c>
    </row>
    <row r="189" spans="1:16" x14ac:dyDescent="0.35">
      <c r="A189" s="4" t="s">
        <v>70</v>
      </c>
      <c r="B189" s="5">
        <v>45658</v>
      </c>
      <c r="C189" s="4" t="s">
        <v>22</v>
      </c>
      <c r="D189" s="4" t="s">
        <v>20</v>
      </c>
      <c r="E189" s="4">
        <v>71941.62</v>
      </c>
      <c r="F189" s="4">
        <v>6084</v>
      </c>
      <c r="G189" s="4">
        <v>7.1999999999999995E-2</v>
      </c>
      <c r="H189" s="4">
        <v>13</v>
      </c>
      <c r="I189" s="4">
        <v>93.7</v>
      </c>
      <c r="J189" s="4">
        <v>2.34</v>
      </c>
      <c r="K189" s="4" t="s">
        <v>108</v>
      </c>
      <c r="L189" s="4">
        <v>0</v>
      </c>
      <c r="M189" s="4">
        <v>4.4000000000000004</v>
      </c>
      <c r="N189" s="4" t="s">
        <v>108</v>
      </c>
      <c r="O189" s="4">
        <v>681855.56</v>
      </c>
      <c r="P189" s="4">
        <v>117645.61</v>
      </c>
    </row>
    <row r="190" spans="1:16" x14ac:dyDescent="0.35">
      <c r="A190" s="4" t="s">
        <v>70</v>
      </c>
      <c r="B190" s="5">
        <v>45689</v>
      </c>
      <c r="C190" s="4" t="s">
        <v>22</v>
      </c>
      <c r="D190" s="4" t="s">
        <v>20</v>
      </c>
      <c r="E190" s="4">
        <v>57147.88</v>
      </c>
      <c r="F190" s="4">
        <v>5252</v>
      </c>
      <c r="G190" s="4">
        <v>0.161</v>
      </c>
      <c r="H190" s="4">
        <v>15</v>
      </c>
      <c r="I190" s="4">
        <v>95.5</v>
      </c>
      <c r="J190" s="4">
        <v>8.51</v>
      </c>
      <c r="K190" s="4" t="s">
        <v>108</v>
      </c>
      <c r="L190" s="4">
        <v>0</v>
      </c>
      <c r="M190" s="4">
        <v>4.4000000000000004</v>
      </c>
      <c r="N190" s="4" t="s">
        <v>108</v>
      </c>
      <c r="O190" s="4">
        <v>678311.17</v>
      </c>
      <c r="P190" s="4">
        <v>132029.76000000001</v>
      </c>
    </row>
    <row r="191" spans="1:16" x14ac:dyDescent="0.35">
      <c r="A191" s="4" t="s">
        <v>70</v>
      </c>
      <c r="B191" s="5">
        <v>45717</v>
      </c>
      <c r="C191" s="4" t="s">
        <v>22</v>
      </c>
      <c r="D191" s="4" t="s">
        <v>20</v>
      </c>
      <c r="E191" s="4">
        <v>48031.74</v>
      </c>
      <c r="F191" s="4">
        <v>6516</v>
      </c>
      <c r="G191" s="4">
        <v>6.7000000000000004E-2</v>
      </c>
      <c r="H191" s="4">
        <v>14</v>
      </c>
      <c r="I191" s="4">
        <v>99</v>
      </c>
      <c r="J191" s="4">
        <v>0.48</v>
      </c>
      <c r="K191" s="4" t="s">
        <v>108</v>
      </c>
      <c r="L191" s="4">
        <v>1</v>
      </c>
      <c r="M191" s="4">
        <v>4.3</v>
      </c>
      <c r="N191" s="4" t="s">
        <v>108</v>
      </c>
      <c r="O191" s="4">
        <v>765906.95</v>
      </c>
      <c r="P191" s="4">
        <v>114005.9</v>
      </c>
    </row>
    <row r="192" spans="1:16" x14ac:dyDescent="0.35">
      <c r="A192" s="4" t="s">
        <v>70</v>
      </c>
      <c r="B192" s="5">
        <v>45748</v>
      </c>
      <c r="C192" s="4" t="s">
        <v>22</v>
      </c>
      <c r="D192" s="4" t="s">
        <v>20</v>
      </c>
      <c r="E192" s="4">
        <v>72784.800000000003</v>
      </c>
      <c r="F192" s="4">
        <v>7932</v>
      </c>
      <c r="G192" s="4">
        <v>9.4E-2</v>
      </c>
      <c r="H192" s="4">
        <v>20</v>
      </c>
      <c r="I192" s="4">
        <v>74.900000000000006</v>
      </c>
      <c r="J192" s="4">
        <v>13.62</v>
      </c>
      <c r="K192" s="4" t="s">
        <v>108</v>
      </c>
      <c r="L192" s="4">
        <v>0</v>
      </c>
      <c r="M192" s="4">
        <v>4.2</v>
      </c>
      <c r="N192" s="4" t="s">
        <v>108</v>
      </c>
      <c r="O192" s="4">
        <v>712546.38</v>
      </c>
      <c r="P192" s="4">
        <v>101480.04</v>
      </c>
    </row>
    <row r="193" spans="1:16" x14ac:dyDescent="0.35">
      <c r="A193" s="4" t="s">
        <v>71</v>
      </c>
      <c r="B193" s="5">
        <v>45658</v>
      </c>
      <c r="C193" s="4" t="s">
        <v>17</v>
      </c>
      <c r="D193" s="4" t="s">
        <v>20</v>
      </c>
      <c r="E193" s="4">
        <v>71641.899999999994</v>
      </c>
      <c r="F193" s="4">
        <v>3506</v>
      </c>
      <c r="G193" s="4">
        <v>0</v>
      </c>
      <c r="H193" s="4">
        <v>11</v>
      </c>
      <c r="I193" s="4">
        <v>86.4</v>
      </c>
      <c r="J193" s="4">
        <v>7.77</v>
      </c>
      <c r="K193" s="4" t="s">
        <v>108</v>
      </c>
      <c r="L193" s="4">
        <v>0</v>
      </c>
      <c r="M193" s="4">
        <v>4.0999999999999996</v>
      </c>
      <c r="N193" s="4" t="s">
        <v>108</v>
      </c>
      <c r="O193" s="4">
        <v>625993.82999999996</v>
      </c>
      <c r="P193" s="4">
        <v>98960.320000000007</v>
      </c>
    </row>
    <row r="194" spans="1:16" x14ac:dyDescent="0.35">
      <c r="A194" s="4" t="s">
        <v>71</v>
      </c>
      <c r="B194" s="5">
        <v>45689</v>
      </c>
      <c r="C194" s="4" t="s">
        <v>17</v>
      </c>
      <c r="D194" s="4" t="s">
        <v>20</v>
      </c>
      <c r="E194" s="4">
        <v>55788.61</v>
      </c>
      <c r="F194" s="4">
        <v>2312</v>
      </c>
      <c r="G194" s="4">
        <v>5.8000000000000003E-2</v>
      </c>
      <c r="H194" s="4">
        <v>10</v>
      </c>
      <c r="I194" s="4">
        <v>91.3</v>
      </c>
      <c r="J194" s="4">
        <v>1.99</v>
      </c>
      <c r="K194" s="4" t="s">
        <v>108</v>
      </c>
      <c r="L194" s="4">
        <v>0</v>
      </c>
      <c r="M194" s="4">
        <v>3.8</v>
      </c>
      <c r="N194" s="4" t="s">
        <v>108</v>
      </c>
      <c r="O194" s="4">
        <v>550962.93000000005</v>
      </c>
      <c r="P194" s="4">
        <v>97144.58</v>
      </c>
    </row>
    <row r="195" spans="1:16" x14ac:dyDescent="0.35">
      <c r="A195" s="4" t="s">
        <v>71</v>
      </c>
      <c r="B195" s="5">
        <v>45717</v>
      </c>
      <c r="C195" s="4" t="s">
        <v>17</v>
      </c>
      <c r="D195" s="4" t="s">
        <v>20</v>
      </c>
      <c r="E195" s="4">
        <v>37705.879999999997</v>
      </c>
      <c r="F195" s="4">
        <v>1268</v>
      </c>
      <c r="G195" s="4">
        <v>0.25900000000000001</v>
      </c>
      <c r="H195" s="4">
        <v>9</v>
      </c>
      <c r="I195" s="4">
        <v>84.1</v>
      </c>
      <c r="J195" s="4">
        <v>4.7699999999999996</v>
      </c>
      <c r="K195" s="4" t="s">
        <v>108</v>
      </c>
      <c r="L195" s="4">
        <v>0</v>
      </c>
      <c r="M195" s="4">
        <v>3.8</v>
      </c>
      <c r="N195" s="4" t="s">
        <v>108</v>
      </c>
      <c r="O195" s="4">
        <v>443275.59</v>
      </c>
      <c r="P195" s="4">
        <v>53544.36</v>
      </c>
    </row>
    <row r="196" spans="1:16" x14ac:dyDescent="0.35">
      <c r="A196" s="4" t="s">
        <v>71</v>
      </c>
      <c r="B196" s="5">
        <v>45748</v>
      </c>
      <c r="C196" s="4" t="s">
        <v>17</v>
      </c>
      <c r="D196" s="4" t="s">
        <v>20</v>
      </c>
      <c r="E196" s="4">
        <v>54966.18</v>
      </c>
      <c r="F196" s="4">
        <v>4423</v>
      </c>
      <c r="G196" s="4">
        <v>0.186</v>
      </c>
      <c r="H196" s="4">
        <v>13</v>
      </c>
      <c r="I196" s="4">
        <v>88.7</v>
      </c>
      <c r="J196" s="4">
        <v>0.2</v>
      </c>
      <c r="K196" s="4" t="s">
        <v>108</v>
      </c>
      <c r="L196" s="4">
        <v>0</v>
      </c>
      <c r="M196" s="4">
        <v>4.4000000000000004</v>
      </c>
      <c r="N196" s="4" t="s">
        <v>108</v>
      </c>
      <c r="O196" s="4">
        <v>554012.06999999995</v>
      </c>
      <c r="P196" s="4">
        <v>81101.62</v>
      </c>
    </row>
    <row r="197" spans="1:16" x14ac:dyDescent="0.35">
      <c r="A197" s="4" t="s">
        <v>72</v>
      </c>
      <c r="B197" s="5">
        <v>45658</v>
      </c>
      <c r="C197" s="4" t="s">
        <v>29</v>
      </c>
      <c r="D197" s="4" t="s">
        <v>18</v>
      </c>
      <c r="E197" s="4">
        <v>81796.740000000005</v>
      </c>
      <c r="F197" s="4">
        <v>6177</v>
      </c>
      <c r="G197" s="4">
        <v>0.16400000000000001</v>
      </c>
      <c r="H197" s="4">
        <v>14</v>
      </c>
      <c r="I197" s="4">
        <v>87.9</v>
      </c>
      <c r="J197" s="4">
        <v>0.53</v>
      </c>
      <c r="K197" s="4" t="s">
        <v>108</v>
      </c>
      <c r="L197" s="4">
        <v>0</v>
      </c>
      <c r="M197" s="4">
        <v>3.2</v>
      </c>
      <c r="N197" s="4" t="s">
        <v>108</v>
      </c>
      <c r="O197" s="4">
        <v>643428.85</v>
      </c>
      <c r="P197" s="4">
        <v>94477.63</v>
      </c>
    </row>
    <row r="198" spans="1:16" x14ac:dyDescent="0.35">
      <c r="A198" s="4" t="s">
        <v>72</v>
      </c>
      <c r="B198" s="5">
        <v>45689</v>
      </c>
      <c r="C198" s="4" t="s">
        <v>29</v>
      </c>
      <c r="D198" s="4" t="s">
        <v>18</v>
      </c>
      <c r="E198" s="4">
        <v>51133.43</v>
      </c>
      <c r="F198" s="4">
        <v>5150</v>
      </c>
      <c r="G198" s="4">
        <v>0.15</v>
      </c>
      <c r="H198" s="4">
        <v>12</v>
      </c>
      <c r="I198" s="4">
        <v>88.5</v>
      </c>
      <c r="J198" s="4">
        <v>1.54</v>
      </c>
      <c r="K198" s="4" t="s">
        <v>108</v>
      </c>
      <c r="L198" s="4">
        <v>0</v>
      </c>
      <c r="M198" s="4">
        <v>3.2</v>
      </c>
      <c r="N198" s="4" t="s">
        <v>108</v>
      </c>
      <c r="O198" s="4">
        <v>611924.27</v>
      </c>
      <c r="P198" s="4">
        <v>115488.75</v>
      </c>
    </row>
    <row r="199" spans="1:16" x14ac:dyDescent="0.35">
      <c r="A199" s="4" t="s">
        <v>72</v>
      </c>
      <c r="B199" s="5">
        <v>45717</v>
      </c>
      <c r="C199" s="4" t="s">
        <v>29</v>
      </c>
      <c r="D199" s="4" t="s">
        <v>18</v>
      </c>
      <c r="E199" s="4">
        <v>40220.18</v>
      </c>
      <c r="F199" s="4">
        <v>3783</v>
      </c>
      <c r="G199" s="4">
        <v>8.8999999999999996E-2</v>
      </c>
      <c r="H199" s="4">
        <v>14</v>
      </c>
      <c r="I199" s="4">
        <v>86.6</v>
      </c>
      <c r="J199" s="4">
        <v>3.63</v>
      </c>
      <c r="K199" s="4" t="s">
        <v>108</v>
      </c>
      <c r="L199" s="4">
        <v>0</v>
      </c>
      <c r="M199" s="4">
        <v>3.7</v>
      </c>
      <c r="N199" s="4" t="s">
        <v>108</v>
      </c>
      <c r="O199" s="4">
        <v>559422.02</v>
      </c>
      <c r="P199" s="4">
        <v>73528.740000000005</v>
      </c>
    </row>
    <row r="200" spans="1:16" x14ac:dyDescent="0.35">
      <c r="A200" s="4" t="s">
        <v>72</v>
      </c>
      <c r="B200" s="5">
        <v>45748</v>
      </c>
      <c r="C200" s="4" t="s">
        <v>29</v>
      </c>
      <c r="D200" s="4" t="s">
        <v>18</v>
      </c>
      <c r="E200" s="4">
        <v>41657.64</v>
      </c>
      <c r="F200" s="4">
        <v>3135</v>
      </c>
      <c r="G200" s="4">
        <v>0.22900000000000001</v>
      </c>
      <c r="H200" s="4">
        <v>7</v>
      </c>
      <c r="I200" s="4">
        <v>85.4</v>
      </c>
      <c r="J200" s="4">
        <v>13.48</v>
      </c>
      <c r="K200" s="4" t="s">
        <v>108</v>
      </c>
      <c r="L200" s="4">
        <v>0</v>
      </c>
      <c r="M200" s="4">
        <v>3.9</v>
      </c>
      <c r="N200" s="4" t="s">
        <v>109</v>
      </c>
      <c r="O200" s="4">
        <v>449465.06</v>
      </c>
      <c r="P200" s="4">
        <v>65694.78</v>
      </c>
    </row>
    <row r="201" spans="1:16" x14ac:dyDescent="0.35">
      <c r="A201" s="4" t="s">
        <v>73</v>
      </c>
      <c r="B201" s="5">
        <v>45658</v>
      </c>
      <c r="C201" s="4" t="s">
        <v>22</v>
      </c>
      <c r="D201" s="4" t="s">
        <v>18</v>
      </c>
      <c r="E201" s="4">
        <v>71851.45</v>
      </c>
      <c r="F201" s="4">
        <v>4970</v>
      </c>
      <c r="G201" s="4">
        <v>9.8000000000000004E-2</v>
      </c>
      <c r="H201" s="4">
        <v>11</v>
      </c>
      <c r="I201" s="4">
        <v>89.6</v>
      </c>
      <c r="J201" s="4">
        <v>0.2</v>
      </c>
      <c r="K201" s="4" t="s">
        <v>108</v>
      </c>
      <c r="L201" s="4">
        <v>0</v>
      </c>
      <c r="M201" s="4">
        <v>4.2</v>
      </c>
      <c r="N201" s="4" t="s">
        <v>108</v>
      </c>
      <c r="O201" s="4">
        <v>691447.43</v>
      </c>
      <c r="P201" s="4">
        <v>114077.69</v>
      </c>
    </row>
    <row r="202" spans="1:16" x14ac:dyDescent="0.35">
      <c r="A202" s="4" t="s">
        <v>73</v>
      </c>
      <c r="B202" s="5">
        <v>45689</v>
      </c>
      <c r="C202" s="4" t="s">
        <v>22</v>
      </c>
      <c r="D202" s="4" t="s">
        <v>18</v>
      </c>
      <c r="E202" s="4">
        <v>54002.83</v>
      </c>
      <c r="F202" s="4">
        <v>4366</v>
      </c>
      <c r="G202" s="4">
        <v>2.7E-2</v>
      </c>
      <c r="H202" s="4">
        <v>15</v>
      </c>
      <c r="I202" s="4">
        <v>90.6</v>
      </c>
      <c r="J202" s="4">
        <v>12.82</v>
      </c>
      <c r="K202" s="4" t="s">
        <v>108</v>
      </c>
      <c r="L202" s="4">
        <v>0</v>
      </c>
      <c r="M202" s="4">
        <v>4.5999999999999996</v>
      </c>
      <c r="N202" s="4" t="s">
        <v>108</v>
      </c>
      <c r="O202" s="4">
        <v>574066.61</v>
      </c>
      <c r="P202" s="4">
        <v>124674.67</v>
      </c>
    </row>
    <row r="203" spans="1:16" x14ac:dyDescent="0.35">
      <c r="A203" s="4" t="s">
        <v>73</v>
      </c>
      <c r="B203" s="5">
        <v>45717</v>
      </c>
      <c r="C203" s="4" t="s">
        <v>22</v>
      </c>
      <c r="D203" s="4" t="s">
        <v>18</v>
      </c>
      <c r="E203" s="4">
        <v>54479.33</v>
      </c>
      <c r="F203" s="4">
        <v>5012</v>
      </c>
      <c r="G203" s="4">
        <v>0.28399999999999997</v>
      </c>
      <c r="H203" s="4">
        <v>13</v>
      </c>
      <c r="I203" s="4">
        <v>86</v>
      </c>
      <c r="J203" s="4">
        <v>2.2400000000000002</v>
      </c>
      <c r="K203" s="4" t="s">
        <v>108</v>
      </c>
      <c r="L203" s="4">
        <v>1</v>
      </c>
      <c r="M203" s="4">
        <v>4.3</v>
      </c>
      <c r="N203" s="4" t="s">
        <v>108</v>
      </c>
      <c r="O203" s="4">
        <v>578949.84</v>
      </c>
      <c r="P203" s="4">
        <v>80253.649999999994</v>
      </c>
    </row>
    <row r="204" spans="1:16" x14ac:dyDescent="0.35">
      <c r="A204" s="4" t="s">
        <v>73</v>
      </c>
      <c r="B204" s="5">
        <v>45748</v>
      </c>
      <c r="C204" s="4" t="s">
        <v>22</v>
      </c>
      <c r="D204" s="4" t="s">
        <v>18</v>
      </c>
      <c r="E204" s="4">
        <v>61391.8</v>
      </c>
      <c r="F204" s="4">
        <v>5575</v>
      </c>
      <c r="G204" s="4">
        <v>0.189</v>
      </c>
      <c r="H204" s="4">
        <v>18</v>
      </c>
      <c r="I204" s="4">
        <v>90</v>
      </c>
      <c r="J204" s="4">
        <v>1.8</v>
      </c>
      <c r="K204" s="4" t="s">
        <v>108</v>
      </c>
      <c r="L204" s="4">
        <v>0</v>
      </c>
      <c r="M204" s="4">
        <v>4.8</v>
      </c>
      <c r="N204" s="4" t="s">
        <v>108</v>
      </c>
      <c r="O204" s="4">
        <v>735786.64</v>
      </c>
      <c r="P204" s="4">
        <v>126540.66</v>
      </c>
    </row>
    <row r="205" spans="1:16" x14ac:dyDescent="0.35">
      <c r="A205" s="4" t="s">
        <v>74</v>
      </c>
      <c r="B205" s="5">
        <v>45658</v>
      </c>
      <c r="C205" s="4" t="s">
        <v>17</v>
      </c>
      <c r="D205" s="4" t="s">
        <v>23</v>
      </c>
      <c r="E205" s="4">
        <v>22312.93</v>
      </c>
      <c r="F205" s="4">
        <v>5955</v>
      </c>
      <c r="G205" s="4">
        <v>0.123</v>
      </c>
      <c r="H205" s="4">
        <v>13</v>
      </c>
      <c r="I205" s="4">
        <v>84.2</v>
      </c>
      <c r="J205" s="4">
        <v>0.41</v>
      </c>
      <c r="K205" s="4" t="s">
        <v>108</v>
      </c>
      <c r="L205" s="4">
        <v>1</v>
      </c>
      <c r="M205" s="4">
        <v>4.5999999999999996</v>
      </c>
      <c r="N205" s="4" t="s">
        <v>108</v>
      </c>
      <c r="O205" s="4">
        <v>598904.9</v>
      </c>
      <c r="P205" s="4">
        <v>72861</v>
      </c>
    </row>
    <row r="206" spans="1:16" x14ac:dyDescent="0.35">
      <c r="A206" s="4" t="s">
        <v>74</v>
      </c>
      <c r="B206" s="5">
        <v>45689</v>
      </c>
      <c r="C206" s="4" t="s">
        <v>17</v>
      </c>
      <c r="D206" s="4" t="s">
        <v>23</v>
      </c>
      <c r="E206" s="4">
        <v>78111.97</v>
      </c>
      <c r="F206" s="4">
        <v>6389</v>
      </c>
      <c r="G206" s="4">
        <v>0.15</v>
      </c>
      <c r="H206" s="4">
        <v>13</v>
      </c>
      <c r="I206" s="4">
        <v>83.9</v>
      </c>
      <c r="J206" s="4">
        <v>3.05</v>
      </c>
      <c r="K206" s="4" t="s">
        <v>108</v>
      </c>
      <c r="L206" s="4">
        <v>0</v>
      </c>
      <c r="M206" s="4">
        <v>4.8</v>
      </c>
      <c r="N206" s="4" t="s">
        <v>108</v>
      </c>
      <c r="O206" s="4">
        <v>787715.51</v>
      </c>
      <c r="P206" s="4">
        <v>128969.62</v>
      </c>
    </row>
    <row r="207" spans="1:16" x14ac:dyDescent="0.35">
      <c r="A207" s="4" t="s">
        <v>74</v>
      </c>
      <c r="B207" s="5">
        <v>45717</v>
      </c>
      <c r="C207" s="4" t="s">
        <v>17</v>
      </c>
      <c r="D207" s="4" t="s">
        <v>23</v>
      </c>
      <c r="E207" s="4">
        <v>35203.230000000003</v>
      </c>
      <c r="F207" s="4">
        <v>6896</v>
      </c>
      <c r="G207" s="4">
        <v>3.2000000000000001E-2</v>
      </c>
      <c r="H207" s="4">
        <v>14</v>
      </c>
      <c r="I207" s="4">
        <v>80.8</v>
      </c>
      <c r="J207" s="4">
        <v>8.44</v>
      </c>
      <c r="K207" s="4" t="s">
        <v>108</v>
      </c>
      <c r="L207" s="4">
        <v>1</v>
      </c>
      <c r="M207" s="4">
        <v>5</v>
      </c>
      <c r="N207" s="4" t="s">
        <v>108</v>
      </c>
      <c r="O207" s="4">
        <v>607084.92000000004</v>
      </c>
      <c r="P207" s="4">
        <v>98558.49</v>
      </c>
    </row>
    <row r="208" spans="1:16" x14ac:dyDescent="0.35">
      <c r="A208" s="4" t="s">
        <v>74</v>
      </c>
      <c r="B208" s="5">
        <v>45748</v>
      </c>
      <c r="C208" s="4" t="s">
        <v>17</v>
      </c>
      <c r="D208" s="4" t="s">
        <v>23</v>
      </c>
      <c r="E208" s="4">
        <v>64104.28</v>
      </c>
      <c r="F208" s="4">
        <v>6015</v>
      </c>
      <c r="G208" s="4">
        <v>0.127</v>
      </c>
      <c r="H208" s="4">
        <v>15</v>
      </c>
      <c r="I208" s="4">
        <v>88.7</v>
      </c>
      <c r="J208" s="4">
        <v>0.78</v>
      </c>
      <c r="K208" s="4" t="s">
        <v>108</v>
      </c>
      <c r="L208" s="4">
        <v>0</v>
      </c>
      <c r="M208" s="4">
        <v>4</v>
      </c>
      <c r="N208" s="4" t="s">
        <v>108</v>
      </c>
      <c r="O208" s="4">
        <v>650795.49</v>
      </c>
      <c r="P208" s="4">
        <v>103035.89</v>
      </c>
    </row>
    <row r="209" spans="1:16" x14ac:dyDescent="0.35">
      <c r="A209" s="4" t="s">
        <v>75</v>
      </c>
      <c r="B209" s="5">
        <v>45658</v>
      </c>
      <c r="C209" s="4" t="s">
        <v>17</v>
      </c>
      <c r="D209" s="4" t="s">
        <v>30</v>
      </c>
      <c r="E209" s="4">
        <v>92090.14</v>
      </c>
      <c r="F209" s="4">
        <v>9476</v>
      </c>
      <c r="G209" s="4">
        <v>7.0000000000000007E-2</v>
      </c>
      <c r="H209" s="4">
        <v>24</v>
      </c>
      <c r="I209" s="4">
        <v>94.3</v>
      </c>
      <c r="J209" s="4">
        <v>0.87</v>
      </c>
      <c r="K209" s="4" t="s">
        <v>108</v>
      </c>
      <c r="L209" s="4">
        <v>0</v>
      </c>
      <c r="M209" s="4">
        <v>3.7</v>
      </c>
      <c r="N209" s="4" t="s">
        <v>108</v>
      </c>
      <c r="O209" s="4">
        <v>825060.52</v>
      </c>
      <c r="P209" s="4">
        <v>143613.15</v>
      </c>
    </row>
    <row r="210" spans="1:16" x14ac:dyDescent="0.35">
      <c r="A210" s="4" t="s">
        <v>75</v>
      </c>
      <c r="B210" s="5">
        <v>45689</v>
      </c>
      <c r="C210" s="4" t="s">
        <v>17</v>
      </c>
      <c r="D210" s="4" t="s">
        <v>30</v>
      </c>
      <c r="E210" s="4">
        <v>54300.87</v>
      </c>
      <c r="F210" s="4">
        <v>7875</v>
      </c>
      <c r="G210" s="4">
        <v>0.107</v>
      </c>
      <c r="H210" s="4">
        <v>19</v>
      </c>
      <c r="I210" s="4">
        <v>94.1</v>
      </c>
      <c r="J210" s="4">
        <v>0.95</v>
      </c>
      <c r="K210" s="4" t="s">
        <v>108</v>
      </c>
      <c r="L210" s="4">
        <v>0</v>
      </c>
      <c r="M210" s="4">
        <v>3.7</v>
      </c>
      <c r="N210" s="4" t="s">
        <v>108</v>
      </c>
      <c r="O210" s="4">
        <v>795464.47</v>
      </c>
      <c r="P210" s="4">
        <v>161150.51999999999</v>
      </c>
    </row>
    <row r="211" spans="1:16" x14ac:dyDescent="0.35">
      <c r="A211" s="4" t="s">
        <v>75</v>
      </c>
      <c r="B211" s="5">
        <v>45717</v>
      </c>
      <c r="C211" s="4" t="s">
        <v>17</v>
      </c>
      <c r="D211" s="4" t="s">
        <v>30</v>
      </c>
      <c r="E211" s="4">
        <v>37983.35</v>
      </c>
      <c r="F211" s="4">
        <v>9283</v>
      </c>
      <c r="G211" s="4">
        <v>0.14899999999999999</v>
      </c>
      <c r="H211" s="4">
        <v>19</v>
      </c>
      <c r="I211" s="4">
        <v>83.2</v>
      </c>
      <c r="J211" s="4">
        <v>3.82</v>
      </c>
      <c r="K211" s="4" t="s">
        <v>108</v>
      </c>
      <c r="L211" s="4">
        <v>0</v>
      </c>
      <c r="M211" s="4">
        <v>3.7</v>
      </c>
      <c r="N211" s="4" t="s">
        <v>108</v>
      </c>
      <c r="O211" s="4">
        <v>671868.59</v>
      </c>
      <c r="P211" s="4">
        <v>71003.28</v>
      </c>
    </row>
    <row r="212" spans="1:16" x14ac:dyDescent="0.35">
      <c r="A212" s="4" t="s">
        <v>75</v>
      </c>
      <c r="B212" s="5">
        <v>45748</v>
      </c>
      <c r="C212" s="4" t="s">
        <v>17</v>
      </c>
      <c r="D212" s="4" t="s">
        <v>30</v>
      </c>
      <c r="E212" s="4">
        <v>56413.83</v>
      </c>
      <c r="F212" s="4">
        <v>8303</v>
      </c>
      <c r="G212" s="4">
        <v>0.11600000000000001</v>
      </c>
      <c r="H212" s="4">
        <v>18</v>
      </c>
      <c r="I212" s="4">
        <v>93.6</v>
      </c>
      <c r="J212" s="4">
        <v>2.7</v>
      </c>
      <c r="K212" s="4" t="s">
        <v>108</v>
      </c>
      <c r="L212" s="4">
        <v>0</v>
      </c>
      <c r="M212" s="4">
        <v>3.7</v>
      </c>
      <c r="N212" s="4" t="s">
        <v>108</v>
      </c>
      <c r="O212" s="4">
        <v>675917.63</v>
      </c>
      <c r="P212" s="4">
        <v>112564.75</v>
      </c>
    </row>
    <row r="213" spans="1:16" x14ac:dyDescent="0.35">
      <c r="A213" s="4" t="s">
        <v>76</v>
      </c>
      <c r="B213" s="5">
        <v>45658</v>
      </c>
      <c r="C213" s="4" t="s">
        <v>17</v>
      </c>
      <c r="D213" s="4" t="s">
        <v>20</v>
      </c>
      <c r="E213" s="4">
        <v>63457.19</v>
      </c>
      <c r="F213" s="4">
        <v>10125</v>
      </c>
      <c r="G213" s="4">
        <v>9.7000000000000003E-2</v>
      </c>
      <c r="H213" s="4">
        <v>24</v>
      </c>
      <c r="I213" s="4">
        <v>87</v>
      </c>
      <c r="J213" s="4">
        <v>3.84</v>
      </c>
      <c r="K213" s="4" t="s">
        <v>108</v>
      </c>
      <c r="L213" s="4">
        <v>1</v>
      </c>
      <c r="M213" s="4">
        <v>3.7</v>
      </c>
      <c r="N213" s="4" t="s">
        <v>108</v>
      </c>
      <c r="O213" s="4">
        <v>810446.53</v>
      </c>
      <c r="P213" s="4">
        <v>200575.34</v>
      </c>
    </row>
    <row r="214" spans="1:16" x14ac:dyDescent="0.35">
      <c r="A214" s="4" t="s">
        <v>76</v>
      </c>
      <c r="B214" s="5">
        <v>45689</v>
      </c>
      <c r="C214" s="4" t="s">
        <v>17</v>
      </c>
      <c r="D214" s="4" t="s">
        <v>20</v>
      </c>
      <c r="E214" s="4">
        <v>62949.7</v>
      </c>
      <c r="F214" s="4">
        <v>9458</v>
      </c>
      <c r="G214" s="4">
        <v>0.17100000000000001</v>
      </c>
      <c r="H214" s="4">
        <v>19</v>
      </c>
      <c r="I214" s="4">
        <v>84.9</v>
      </c>
      <c r="J214" s="4">
        <v>5.09</v>
      </c>
      <c r="K214" s="4" t="s">
        <v>108</v>
      </c>
      <c r="L214" s="4">
        <v>0</v>
      </c>
      <c r="M214" s="4">
        <v>3.3</v>
      </c>
      <c r="N214" s="4" t="s">
        <v>108</v>
      </c>
      <c r="O214" s="4">
        <v>691288.19</v>
      </c>
      <c r="P214" s="4">
        <v>159074.14000000001</v>
      </c>
    </row>
    <row r="215" spans="1:16" x14ac:dyDescent="0.35">
      <c r="A215" s="4" t="s">
        <v>76</v>
      </c>
      <c r="B215" s="5">
        <v>45717</v>
      </c>
      <c r="C215" s="4" t="s">
        <v>17</v>
      </c>
      <c r="D215" s="4" t="s">
        <v>20</v>
      </c>
      <c r="E215" s="4">
        <v>107970.19</v>
      </c>
      <c r="F215" s="4">
        <v>12870</v>
      </c>
      <c r="G215" s="4">
        <v>2.9000000000000001E-2</v>
      </c>
      <c r="H215" s="4">
        <v>31</v>
      </c>
      <c r="I215" s="4">
        <v>91.7</v>
      </c>
      <c r="J215" s="4">
        <v>3.82</v>
      </c>
      <c r="K215" s="4" t="s">
        <v>108</v>
      </c>
      <c r="L215" s="4">
        <v>1</v>
      </c>
      <c r="M215" s="4">
        <v>3.7</v>
      </c>
      <c r="N215" s="4" t="s">
        <v>108</v>
      </c>
      <c r="O215" s="4">
        <v>946833.54</v>
      </c>
      <c r="P215" s="4">
        <v>184540.31</v>
      </c>
    </row>
    <row r="216" spans="1:16" x14ac:dyDescent="0.35">
      <c r="A216" s="4" t="s">
        <v>76</v>
      </c>
      <c r="B216" s="5">
        <v>45748</v>
      </c>
      <c r="C216" s="4" t="s">
        <v>17</v>
      </c>
      <c r="D216" s="4" t="s">
        <v>20</v>
      </c>
      <c r="E216" s="4">
        <v>49405.75</v>
      </c>
      <c r="F216" s="4">
        <v>9752</v>
      </c>
      <c r="G216" s="4">
        <v>9.2999999999999999E-2</v>
      </c>
      <c r="H216" s="4">
        <v>21</v>
      </c>
      <c r="I216" s="4">
        <v>87</v>
      </c>
      <c r="J216" s="4">
        <v>12.28</v>
      </c>
      <c r="K216" s="4" t="s">
        <v>108</v>
      </c>
      <c r="L216" s="4">
        <v>0</v>
      </c>
      <c r="M216" s="4">
        <v>4.0999999999999996</v>
      </c>
      <c r="N216" s="4" t="s">
        <v>108</v>
      </c>
      <c r="O216" s="4">
        <v>761963.23</v>
      </c>
      <c r="P216" s="4">
        <v>150113.60999999999</v>
      </c>
    </row>
    <row r="217" spans="1:16" x14ac:dyDescent="0.35">
      <c r="A217" s="4" t="s">
        <v>77</v>
      </c>
      <c r="B217" s="5">
        <v>45658</v>
      </c>
      <c r="C217" s="4" t="s">
        <v>29</v>
      </c>
      <c r="D217" s="4" t="s">
        <v>18</v>
      </c>
      <c r="E217" s="4">
        <v>50887.46</v>
      </c>
      <c r="F217" s="4">
        <v>9505</v>
      </c>
      <c r="G217" s="4">
        <v>9.0999999999999998E-2</v>
      </c>
      <c r="H217" s="4">
        <v>25</v>
      </c>
      <c r="I217" s="4">
        <v>89.7</v>
      </c>
      <c r="J217" s="4">
        <v>2.8</v>
      </c>
      <c r="K217" s="4" t="s">
        <v>108</v>
      </c>
      <c r="L217" s="4">
        <v>0</v>
      </c>
      <c r="M217" s="4">
        <v>4.3</v>
      </c>
      <c r="N217" s="4" t="s">
        <v>108</v>
      </c>
      <c r="O217" s="4">
        <v>812152.6</v>
      </c>
      <c r="P217" s="4">
        <v>138419.43</v>
      </c>
    </row>
    <row r="218" spans="1:16" x14ac:dyDescent="0.35">
      <c r="A218" s="4" t="s">
        <v>77</v>
      </c>
      <c r="B218" s="5">
        <v>45689</v>
      </c>
      <c r="C218" s="4" t="s">
        <v>29</v>
      </c>
      <c r="D218" s="4" t="s">
        <v>18</v>
      </c>
      <c r="E218" s="4">
        <v>41819.449999999997</v>
      </c>
      <c r="F218" s="4">
        <v>9412</v>
      </c>
      <c r="G218" s="4">
        <v>0.15</v>
      </c>
      <c r="H218" s="4">
        <v>22</v>
      </c>
      <c r="I218" s="4">
        <v>91</v>
      </c>
      <c r="J218" s="4">
        <v>3.67</v>
      </c>
      <c r="K218" s="4" t="s">
        <v>108</v>
      </c>
      <c r="L218" s="4">
        <v>0</v>
      </c>
      <c r="M218" s="4">
        <v>4.2</v>
      </c>
      <c r="N218" s="4" t="s">
        <v>108</v>
      </c>
      <c r="O218" s="4">
        <v>804975.5</v>
      </c>
      <c r="P218" s="4">
        <v>140054.5</v>
      </c>
    </row>
    <row r="219" spans="1:16" x14ac:dyDescent="0.35">
      <c r="A219" s="4" t="s">
        <v>77</v>
      </c>
      <c r="B219" s="5">
        <v>45717</v>
      </c>
      <c r="C219" s="4" t="s">
        <v>29</v>
      </c>
      <c r="D219" s="4" t="s">
        <v>18</v>
      </c>
      <c r="E219" s="4">
        <v>35296.54</v>
      </c>
      <c r="F219" s="4">
        <v>9644</v>
      </c>
      <c r="G219" s="4">
        <v>0</v>
      </c>
      <c r="H219" s="4">
        <v>22</v>
      </c>
      <c r="I219" s="4">
        <v>88</v>
      </c>
      <c r="J219" s="4">
        <v>2.81</v>
      </c>
      <c r="K219" s="4" t="s">
        <v>108</v>
      </c>
      <c r="L219" s="4">
        <v>0</v>
      </c>
      <c r="M219" s="4">
        <v>4.7</v>
      </c>
      <c r="N219" s="4" t="s">
        <v>108</v>
      </c>
      <c r="O219" s="4">
        <v>752321.72</v>
      </c>
      <c r="P219" s="4">
        <v>137788.51</v>
      </c>
    </row>
    <row r="220" spans="1:16" x14ac:dyDescent="0.35">
      <c r="A220" s="4" t="s">
        <v>77</v>
      </c>
      <c r="B220" s="5">
        <v>45748</v>
      </c>
      <c r="C220" s="4" t="s">
        <v>29</v>
      </c>
      <c r="D220" s="4" t="s">
        <v>18</v>
      </c>
      <c r="E220" s="4">
        <v>47391.09</v>
      </c>
      <c r="F220" s="4">
        <v>11224</v>
      </c>
      <c r="G220" s="4">
        <v>0.14699999999999999</v>
      </c>
      <c r="H220" s="4">
        <v>25</v>
      </c>
      <c r="I220" s="4">
        <v>88.4</v>
      </c>
      <c r="J220" s="4">
        <v>2.44</v>
      </c>
      <c r="K220" s="4" t="s">
        <v>108</v>
      </c>
      <c r="L220" s="4">
        <v>0</v>
      </c>
      <c r="M220" s="4">
        <v>4.9000000000000004</v>
      </c>
      <c r="N220" s="4" t="s">
        <v>108</v>
      </c>
      <c r="O220" s="4">
        <v>836908.24</v>
      </c>
      <c r="P220" s="4">
        <v>141090.26</v>
      </c>
    </row>
    <row r="221" spans="1:16" x14ac:dyDescent="0.35">
      <c r="A221" s="4" t="s">
        <v>78</v>
      </c>
      <c r="B221" s="5">
        <v>45658</v>
      </c>
      <c r="C221" s="4" t="s">
        <v>22</v>
      </c>
      <c r="D221" s="4" t="s">
        <v>23</v>
      </c>
      <c r="E221" s="4">
        <v>69180.539999999994</v>
      </c>
      <c r="F221" s="4">
        <v>5394</v>
      </c>
      <c r="G221" s="4">
        <v>0.126</v>
      </c>
      <c r="H221" s="4">
        <v>12</v>
      </c>
      <c r="I221" s="4">
        <v>82.9</v>
      </c>
      <c r="J221" s="4">
        <v>3.27</v>
      </c>
      <c r="K221" s="4" t="s">
        <v>108</v>
      </c>
      <c r="L221" s="4">
        <v>0</v>
      </c>
      <c r="M221" s="4">
        <v>3.3</v>
      </c>
      <c r="N221" s="4" t="s">
        <v>108</v>
      </c>
      <c r="O221" s="4">
        <v>674289.1</v>
      </c>
      <c r="P221" s="4">
        <v>117773.79</v>
      </c>
    </row>
    <row r="222" spans="1:16" x14ac:dyDescent="0.35">
      <c r="A222" s="4" t="s">
        <v>78</v>
      </c>
      <c r="B222" s="5">
        <v>45689</v>
      </c>
      <c r="C222" s="4" t="s">
        <v>22</v>
      </c>
      <c r="D222" s="4" t="s">
        <v>23</v>
      </c>
      <c r="E222" s="4">
        <v>33987.33</v>
      </c>
      <c r="F222" s="4">
        <v>5014</v>
      </c>
      <c r="G222" s="4">
        <v>0.246</v>
      </c>
      <c r="H222" s="4">
        <v>17</v>
      </c>
      <c r="I222" s="4">
        <v>94.3</v>
      </c>
      <c r="J222" s="4">
        <v>10.34</v>
      </c>
      <c r="K222" s="4" t="s">
        <v>108</v>
      </c>
      <c r="L222" s="4">
        <v>0</v>
      </c>
      <c r="M222" s="4">
        <v>3.9</v>
      </c>
      <c r="N222" s="4" t="s">
        <v>108</v>
      </c>
      <c r="O222" s="4">
        <v>622892.42000000004</v>
      </c>
      <c r="P222" s="4">
        <v>101032.52</v>
      </c>
    </row>
    <row r="223" spans="1:16" x14ac:dyDescent="0.35">
      <c r="A223" s="4" t="s">
        <v>78</v>
      </c>
      <c r="B223" s="5">
        <v>45717</v>
      </c>
      <c r="C223" s="4" t="s">
        <v>22</v>
      </c>
      <c r="D223" s="4" t="s">
        <v>23</v>
      </c>
      <c r="E223" s="4">
        <v>58785.33</v>
      </c>
      <c r="F223" s="4">
        <v>4467</v>
      </c>
      <c r="G223" s="4">
        <v>0.22900000000000001</v>
      </c>
      <c r="H223" s="4">
        <v>14</v>
      </c>
      <c r="I223" s="4">
        <v>90.7</v>
      </c>
      <c r="J223" s="4">
        <v>1.92</v>
      </c>
      <c r="K223" s="4" t="s">
        <v>108</v>
      </c>
      <c r="L223" s="4">
        <v>0</v>
      </c>
      <c r="M223" s="4">
        <v>3.7</v>
      </c>
      <c r="N223" s="4" t="s">
        <v>108</v>
      </c>
      <c r="O223" s="4">
        <v>673348.56</v>
      </c>
      <c r="P223" s="4">
        <v>69464.59</v>
      </c>
    </row>
    <row r="224" spans="1:16" x14ac:dyDescent="0.35">
      <c r="A224" s="4" t="s">
        <v>78</v>
      </c>
      <c r="B224" s="5">
        <v>45748</v>
      </c>
      <c r="C224" s="4" t="s">
        <v>22</v>
      </c>
      <c r="D224" s="4" t="s">
        <v>23</v>
      </c>
      <c r="E224" s="4">
        <v>16451.849999999999</v>
      </c>
      <c r="F224" s="4">
        <v>4678</v>
      </c>
      <c r="G224" s="4">
        <v>0.13300000000000001</v>
      </c>
      <c r="H224" s="4">
        <v>11</v>
      </c>
      <c r="I224" s="4">
        <v>95.9</v>
      </c>
      <c r="J224" s="4">
        <v>3.1</v>
      </c>
      <c r="K224" s="4" t="s">
        <v>108</v>
      </c>
      <c r="L224" s="4">
        <v>0</v>
      </c>
      <c r="M224" s="4">
        <v>3.9</v>
      </c>
      <c r="N224" s="4" t="s">
        <v>108</v>
      </c>
      <c r="O224" s="4">
        <v>606278.30000000005</v>
      </c>
      <c r="P224" s="4">
        <v>102213.26</v>
      </c>
    </row>
    <row r="225" spans="1:16" x14ac:dyDescent="0.35">
      <c r="A225" s="4" t="s">
        <v>79</v>
      </c>
      <c r="B225" s="5">
        <v>45658</v>
      </c>
      <c r="C225" s="4" t="s">
        <v>17</v>
      </c>
      <c r="D225" s="4" t="s">
        <v>20</v>
      </c>
      <c r="E225" s="4">
        <v>53367.73</v>
      </c>
      <c r="F225" s="4">
        <v>7291</v>
      </c>
      <c r="G225" s="4">
        <v>0.14599999999999999</v>
      </c>
      <c r="H225" s="4">
        <v>18</v>
      </c>
      <c r="I225" s="4">
        <v>90.6</v>
      </c>
      <c r="J225" s="4">
        <v>6.34</v>
      </c>
      <c r="K225" s="4" t="s">
        <v>108</v>
      </c>
      <c r="L225" s="4">
        <v>1</v>
      </c>
      <c r="M225" s="4">
        <v>3.8</v>
      </c>
      <c r="N225" s="4" t="s">
        <v>108</v>
      </c>
      <c r="O225" s="4">
        <v>712219.81</v>
      </c>
      <c r="P225" s="4">
        <v>85906.54</v>
      </c>
    </row>
    <row r="226" spans="1:16" x14ac:dyDescent="0.35">
      <c r="A226" s="4" t="s">
        <v>79</v>
      </c>
      <c r="B226" s="5">
        <v>45689</v>
      </c>
      <c r="C226" s="4" t="s">
        <v>17</v>
      </c>
      <c r="D226" s="4" t="s">
        <v>20</v>
      </c>
      <c r="E226" s="4">
        <v>27194.639999999999</v>
      </c>
      <c r="F226" s="4">
        <v>7404</v>
      </c>
      <c r="G226" s="4">
        <v>8.7999999999999995E-2</v>
      </c>
      <c r="H226" s="4">
        <v>18</v>
      </c>
      <c r="I226" s="4">
        <v>90.2</v>
      </c>
      <c r="J226" s="4">
        <v>1.2</v>
      </c>
      <c r="K226" s="4" t="s">
        <v>108</v>
      </c>
      <c r="L226" s="4">
        <v>0</v>
      </c>
      <c r="M226" s="4">
        <v>3.4</v>
      </c>
      <c r="N226" s="4" t="s">
        <v>108</v>
      </c>
      <c r="O226" s="4">
        <v>672670.54</v>
      </c>
      <c r="P226" s="4">
        <v>132684.18</v>
      </c>
    </row>
    <row r="227" spans="1:16" x14ac:dyDescent="0.35">
      <c r="A227" s="4" t="s">
        <v>79</v>
      </c>
      <c r="B227" s="5">
        <v>45717</v>
      </c>
      <c r="C227" s="4" t="s">
        <v>17</v>
      </c>
      <c r="D227" s="4" t="s">
        <v>20</v>
      </c>
      <c r="E227" s="4">
        <v>66962.740000000005</v>
      </c>
      <c r="F227" s="4">
        <v>7880</v>
      </c>
      <c r="G227" s="4">
        <v>0.11600000000000001</v>
      </c>
      <c r="H227" s="4">
        <v>19</v>
      </c>
      <c r="I227" s="4">
        <v>90.4</v>
      </c>
      <c r="J227" s="4">
        <v>4.5</v>
      </c>
      <c r="K227" s="4" t="s">
        <v>108</v>
      </c>
      <c r="L227" s="4">
        <v>0</v>
      </c>
      <c r="M227" s="4">
        <v>3.3</v>
      </c>
      <c r="N227" s="4" t="s">
        <v>108</v>
      </c>
      <c r="O227" s="4">
        <v>732667.92</v>
      </c>
      <c r="P227" s="4">
        <v>128654.46</v>
      </c>
    </row>
    <row r="228" spans="1:16" x14ac:dyDescent="0.35">
      <c r="A228" s="4" t="s">
        <v>79</v>
      </c>
      <c r="B228" s="5">
        <v>45748</v>
      </c>
      <c r="C228" s="4" t="s">
        <v>17</v>
      </c>
      <c r="D228" s="4" t="s">
        <v>20</v>
      </c>
      <c r="E228" s="4">
        <v>73540.990000000005</v>
      </c>
      <c r="F228" s="4">
        <v>8773</v>
      </c>
      <c r="G228" s="4">
        <v>3.5000000000000003E-2</v>
      </c>
      <c r="H228" s="4">
        <v>21</v>
      </c>
      <c r="I228" s="4">
        <v>84.4</v>
      </c>
      <c r="J228" s="4">
        <v>6.68</v>
      </c>
      <c r="K228" s="4" t="s">
        <v>108</v>
      </c>
      <c r="L228" s="4">
        <v>0</v>
      </c>
      <c r="M228" s="4">
        <v>3.6</v>
      </c>
      <c r="N228" s="4" t="s">
        <v>108</v>
      </c>
      <c r="O228" s="4">
        <v>723531.4</v>
      </c>
      <c r="P228" s="4">
        <v>108794.85</v>
      </c>
    </row>
    <row r="229" spans="1:16" x14ac:dyDescent="0.35">
      <c r="A229" s="4" t="s">
        <v>80</v>
      </c>
      <c r="B229" s="5">
        <v>45658</v>
      </c>
      <c r="C229" s="4" t="s">
        <v>17</v>
      </c>
      <c r="D229" s="4" t="s">
        <v>30</v>
      </c>
      <c r="E229" s="4">
        <v>68212.289999999994</v>
      </c>
      <c r="F229" s="4">
        <v>4713</v>
      </c>
      <c r="G229" s="4">
        <v>0.19800000000000001</v>
      </c>
      <c r="H229" s="4">
        <v>15</v>
      </c>
      <c r="I229" s="4">
        <v>82.6</v>
      </c>
      <c r="J229" s="4">
        <v>4.07</v>
      </c>
      <c r="K229" s="4" t="s">
        <v>108</v>
      </c>
      <c r="L229" s="4">
        <v>1</v>
      </c>
      <c r="M229" s="4">
        <v>3</v>
      </c>
      <c r="N229" s="4" t="s">
        <v>108</v>
      </c>
      <c r="O229" s="4">
        <v>641564.6</v>
      </c>
      <c r="P229" s="4">
        <v>90468.96</v>
      </c>
    </row>
    <row r="230" spans="1:16" x14ac:dyDescent="0.35">
      <c r="A230" s="4" t="s">
        <v>80</v>
      </c>
      <c r="B230" s="5">
        <v>45689</v>
      </c>
      <c r="C230" s="4" t="s">
        <v>17</v>
      </c>
      <c r="D230" s="4" t="s">
        <v>30</v>
      </c>
      <c r="E230" s="4">
        <v>57225.98</v>
      </c>
      <c r="F230" s="4">
        <v>2842</v>
      </c>
      <c r="G230" s="4">
        <v>0.112</v>
      </c>
      <c r="H230" s="4">
        <v>10</v>
      </c>
      <c r="I230" s="4">
        <v>79.5</v>
      </c>
      <c r="J230" s="4">
        <v>5.45</v>
      </c>
      <c r="K230" s="4" t="s">
        <v>108</v>
      </c>
      <c r="L230" s="4">
        <v>0</v>
      </c>
      <c r="M230" s="4">
        <v>3.4</v>
      </c>
      <c r="N230" s="4" t="s">
        <v>108</v>
      </c>
      <c r="O230" s="4">
        <v>536545.49</v>
      </c>
      <c r="P230" s="4">
        <v>97917.45</v>
      </c>
    </row>
    <row r="231" spans="1:16" x14ac:dyDescent="0.35">
      <c r="A231" s="4" t="s">
        <v>80</v>
      </c>
      <c r="B231" s="5">
        <v>45717</v>
      </c>
      <c r="C231" s="4" t="s">
        <v>17</v>
      </c>
      <c r="D231" s="4" t="s">
        <v>30</v>
      </c>
      <c r="E231" s="4">
        <v>42932.02</v>
      </c>
      <c r="F231" s="4">
        <v>3872</v>
      </c>
      <c r="G231" s="4">
        <v>0.17100000000000001</v>
      </c>
      <c r="H231" s="4">
        <v>12</v>
      </c>
      <c r="I231" s="4">
        <v>83.2</v>
      </c>
      <c r="J231" s="4">
        <v>15.58</v>
      </c>
      <c r="K231" s="4" t="s">
        <v>108</v>
      </c>
      <c r="L231" s="4">
        <v>0</v>
      </c>
      <c r="M231" s="4">
        <v>3.3</v>
      </c>
      <c r="N231" s="4" t="s">
        <v>108</v>
      </c>
      <c r="O231" s="4">
        <v>527681.56000000006</v>
      </c>
      <c r="P231" s="4">
        <v>63153.05</v>
      </c>
    </row>
    <row r="232" spans="1:16" x14ac:dyDescent="0.35">
      <c r="A232" s="4" t="s">
        <v>80</v>
      </c>
      <c r="B232" s="5">
        <v>45748</v>
      </c>
      <c r="C232" s="4" t="s">
        <v>17</v>
      </c>
      <c r="D232" s="4" t="s">
        <v>30</v>
      </c>
      <c r="E232" s="4">
        <v>39341.449999999997</v>
      </c>
      <c r="F232" s="4">
        <v>1375</v>
      </c>
      <c r="G232" s="4">
        <v>9.2999999999999999E-2</v>
      </c>
      <c r="H232" s="4">
        <v>5</v>
      </c>
      <c r="I232" s="4">
        <v>95</v>
      </c>
      <c r="J232" s="4">
        <v>5.32</v>
      </c>
      <c r="K232" s="4" t="s">
        <v>108</v>
      </c>
      <c r="L232" s="4">
        <v>0</v>
      </c>
      <c r="M232" s="4">
        <v>3.9</v>
      </c>
      <c r="N232" s="4" t="s">
        <v>109</v>
      </c>
      <c r="O232" s="4">
        <v>529598.93999999994</v>
      </c>
      <c r="P232" s="4">
        <v>84334.33</v>
      </c>
    </row>
    <row r="233" spans="1:16" x14ac:dyDescent="0.35">
      <c r="A233" s="4" t="s">
        <v>81</v>
      </c>
      <c r="B233" s="5">
        <v>45658</v>
      </c>
      <c r="C233" s="4" t="s">
        <v>17</v>
      </c>
      <c r="D233" s="4" t="s">
        <v>20</v>
      </c>
      <c r="E233" s="4">
        <v>37324.230000000003</v>
      </c>
      <c r="F233" s="4">
        <v>5957</v>
      </c>
      <c r="G233" s="4">
        <v>7.0999999999999994E-2</v>
      </c>
      <c r="H233" s="4">
        <v>12</v>
      </c>
      <c r="I233" s="4">
        <v>85.9</v>
      </c>
      <c r="J233" s="4">
        <v>0.37</v>
      </c>
      <c r="K233" s="4" t="s">
        <v>108</v>
      </c>
      <c r="L233" s="4">
        <v>0</v>
      </c>
      <c r="M233" s="4">
        <v>3.8</v>
      </c>
      <c r="N233" s="4" t="s">
        <v>108</v>
      </c>
      <c r="O233" s="4">
        <v>570963.31000000006</v>
      </c>
      <c r="P233" s="4">
        <v>87342.25</v>
      </c>
    </row>
    <row r="234" spans="1:16" x14ac:dyDescent="0.35">
      <c r="A234" s="4" t="s">
        <v>81</v>
      </c>
      <c r="B234" s="5">
        <v>45689</v>
      </c>
      <c r="C234" s="4" t="s">
        <v>17</v>
      </c>
      <c r="D234" s="4" t="s">
        <v>20</v>
      </c>
      <c r="E234" s="4">
        <v>113736</v>
      </c>
      <c r="F234" s="4">
        <v>8961</v>
      </c>
      <c r="G234" s="4">
        <v>0.20200000000000001</v>
      </c>
      <c r="H234" s="4">
        <v>24</v>
      </c>
      <c r="I234" s="4">
        <v>86.2</v>
      </c>
      <c r="J234" s="4">
        <v>21.63</v>
      </c>
      <c r="K234" s="4" t="s">
        <v>108</v>
      </c>
      <c r="L234" s="4">
        <v>0</v>
      </c>
      <c r="M234" s="4">
        <v>4</v>
      </c>
      <c r="N234" s="4" t="s">
        <v>108</v>
      </c>
      <c r="O234" s="4">
        <v>870937.4</v>
      </c>
      <c r="P234" s="4">
        <v>175282.74</v>
      </c>
    </row>
    <row r="235" spans="1:16" x14ac:dyDescent="0.35">
      <c r="A235" s="4" t="s">
        <v>81</v>
      </c>
      <c r="B235" s="5">
        <v>45717</v>
      </c>
      <c r="C235" s="4" t="s">
        <v>17</v>
      </c>
      <c r="D235" s="4" t="s">
        <v>20</v>
      </c>
      <c r="E235" s="4">
        <v>33173.949999999997</v>
      </c>
      <c r="F235" s="4">
        <v>6545</v>
      </c>
      <c r="G235" s="4">
        <v>0.16900000000000001</v>
      </c>
      <c r="H235" s="4">
        <v>15</v>
      </c>
      <c r="I235" s="4">
        <v>84.4</v>
      </c>
      <c r="J235" s="4">
        <v>2.48</v>
      </c>
      <c r="K235" s="4" t="s">
        <v>108</v>
      </c>
      <c r="L235" s="4">
        <v>0</v>
      </c>
      <c r="M235" s="4">
        <v>3.9</v>
      </c>
      <c r="N235" s="4" t="s">
        <v>108</v>
      </c>
      <c r="O235" s="4">
        <v>596969.27</v>
      </c>
      <c r="P235" s="4">
        <v>105669.51</v>
      </c>
    </row>
    <row r="236" spans="1:16" x14ac:dyDescent="0.35">
      <c r="A236" s="4" t="s">
        <v>81</v>
      </c>
      <c r="B236" s="5">
        <v>45748</v>
      </c>
      <c r="C236" s="4" t="s">
        <v>17</v>
      </c>
      <c r="D236" s="4" t="s">
        <v>20</v>
      </c>
      <c r="E236" s="4">
        <v>25818.080000000002</v>
      </c>
      <c r="F236" s="4">
        <v>5457</v>
      </c>
      <c r="G236" s="4">
        <v>0</v>
      </c>
      <c r="H236" s="4">
        <v>11</v>
      </c>
      <c r="I236" s="4">
        <v>95.4</v>
      </c>
      <c r="J236" s="4">
        <v>3.3650000000000002</v>
      </c>
      <c r="K236" s="4" t="s">
        <v>109</v>
      </c>
      <c r="L236" s="4">
        <v>0</v>
      </c>
      <c r="M236" s="4">
        <v>3.7</v>
      </c>
      <c r="N236" s="4" t="s">
        <v>108</v>
      </c>
      <c r="O236" s="4">
        <v>647512.85</v>
      </c>
      <c r="P236" s="4">
        <v>153835.57</v>
      </c>
    </row>
    <row r="237" spans="1:16" x14ac:dyDescent="0.35">
      <c r="A237" s="4" t="s">
        <v>82</v>
      </c>
      <c r="B237" s="5">
        <v>45658</v>
      </c>
      <c r="C237" s="4" t="s">
        <v>29</v>
      </c>
      <c r="D237" s="4" t="s">
        <v>18</v>
      </c>
      <c r="E237" s="4">
        <v>47241.919999999998</v>
      </c>
      <c r="F237" s="4">
        <v>4264</v>
      </c>
      <c r="G237" s="4">
        <v>6.9000000000000006E-2</v>
      </c>
      <c r="H237" s="4">
        <v>13</v>
      </c>
      <c r="I237" s="4">
        <v>95.3</v>
      </c>
      <c r="J237" s="4">
        <v>0.85</v>
      </c>
      <c r="K237" s="4" t="s">
        <v>108</v>
      </c>
      <c r="L237" s="4">
        <v>0</v>
      </c>
      <c r="M237" s="4">
        <v>4.3</v>
      </c>
      <c r="N237" s="4" t="s">
        <v>108</v>
      </c>
      <c r="O237" s="4">
        <v>658072.14</v>
      </c>
      <c r="P237" s="4">
        <v>110595.89</v>
      </c>
    </row>
    <row r="238" spans="1:16" x14ac:dyDescent="0.35">
      <c r="A238" s="4" t="s">
        <v>82</v>
      </c>
      <c r="B238" s="5">
        <v>45689</v>
      </c>
      <c r="C238" s="4" t="s">
        <v>29</v>
      </c>
      <c r="D238" s="4" t="s">
        <v>18</v>
      </c>
      <c r="E238" s="4">
        <v>61650.79</v>
      </c>
      <c r="F238" s="4">
        <v>5321</v>
      </c>
      <c r="G238" s="4">
        <v>0.126</v>
      </c>
      <c r="H238" s="4">
        <v>17</v>
      </c>
      <c r="I238" s="4">
        <v>89.2</v>
      </c>
      <c r="J238" s="4">
        <v>2.13</v>
      </c>
      <c r="K238" s="4" t="s">
        <v>108</v>
      </c>
      <c r="L238" s="4">
        <v>0</v>
      </c>
      <c r="M238" s="4">
        <v>4</v>
      </c>
      <c r="N238" s="4" t="s">
        <v>108</v>
      </c>
      <c r="O238" s="4">
        <v>723305.11</v>
      </c>
      <c r="P238" s="4">
        <v>128468.7</v>
      </c>
    </row>
    <row r="239" spans="1:16" x14ac:dyDescent="0.35">
      <c r="A239" s="4" t="s">
        <v>82</v>
      </c>
      <c r="B239" s="5">
        <v>45717</v>
      </c>
      <c r="C239" s="4" t="s">
        <v>29</v>
      </c>
      <c r="D239" s="4" t="s">
        <v>18</v>
      </c>
      <c r="E239" s="4">
        <v>62582.71</v>
      </c>
      <c r="F239" s="4">
        <v>5479</v>
      </c>
      <c r="G239" s="4">
        <v>4.8000000000000001E-2</v>
      </c>
      <c r="H239" s="4">
        <v>16</v>
      </c>
      <c r="I239" s="4">
        <v>81.2</v>
      </c>
      <c r="J239" s="4">
        <v>1.46</v>
      </c>
      <c r="K239" s="4" t="s">
        <v>108</v>
      </c>
      <c r="L239" s="4">
        <v>0</v>
      </c>
      <c r="M239" s="4">
        <v>4.5</v>
      </c>
      <c r="N239" s="4" t="s">
        <v>108</v>
      </c>
      <c r="O239" s="4">
        <v>640666.53</v>
      </c>
      <c r="P239" s="4">
        <v>134919.16</v>
      </c>
    </row>
    <row r="240" spans="1:16" x14ac:dyDescent="0.35">
      <c r="A240" s="4" t="s">
        <v>82</v>
      </c>
      <c r="B240" s="5">
        <v>45748</v>
      </c>
      <c r="C240" s="4" t="s">
        <v>29</v>
      </c>
      <c r="D240" s="4" t="s">
        <v>18</v>
      </c>
      <c r="E240" s="4">
        <v>47944.14</v>
      </c>
      <c r="F240" s="4">
        <v>6169</v>
      </c>
      <c r="G240" s="4">
        <v>0.11899999999999999</v>
      </c>
      <c r="H240" s="4">
        <v>17</v>
      </c>
      <c r="I240" s="4">
        <v>92.2</v>
      </c>
      <c r="J240" s="4">
        <v>3.02</v>
      </c>
      <c r="K240" s="4" t="s">
        <v>108</v>
      </c>
      <c r="L240" s="4">
        <v>0</v>
      </c>
      <c r="M240" s="4">
        <v>4.0999999999999996</v>
      </c>
      <c r="N240" s="4" t="s">
        <v>108</v>
      </c>
      <c r="O240" s="4">
        <v>670629.48</v>
      </c>
      <c r="P240" s="4">
        <v>100140.8</v>
      </c>
    </row>
    <row r="241" spans="1:16" x14ac:dyDescent="0.35">
      <c r="A241" s="4" t="s">
        <v>83</v>
      </c>
      <c r="B241" s="5">
        <v>45658</v>
      </c>
      <c r="C241" s="4" t="s">
        <v>29</v>
      </c>
      <c r="D241" s="4" t="s">
        <v>30</v>
      </c>
      <c r="E241" s="4">
        <v>46495.4</v>
      </c>
      <c r="F241" s="4">
        <v>9908</v>
      </c>
      <c r="G241" s="4">
        <v>0.121</v>
      </c>
      <c r="H241" s="4">
        <v>22</v>
      </c>
      <c r="I241" s="4">
        <v>89.4</v>
      </c>
      <c r="J241" s="4">
        <v>3.22</v>
      </c>
      <c r="K241" s="4" t="s">
        <v>108</v>
      </c>
      <c r="L241" s="4">
        <v>0</v>
      </c>
      <c r="M241" s="4">
        <v>3.7</v>
      </c>
      <c r="N241" s="4" t="s">
        <v>108</v>
      </c>
      <c r="O241" s="4">
        <v>721079.35</v>
      </c>
      <c r="P241" s="4">
        <v>115295.05</v>
      </c>
    </row>
    <row r="242" spans="1:16" x14ac:dyDescent="0.35">
      <c r="A242" s="4" t="s">
        <v>83</v>
      </c>
      <c r="B242" s="5">
        <v>45689</v>
      </c>
      <c r="C242" s="4" t="s">
        <v>29</v>
      </c>
      <c r="D242" s="4" t="s">
        <v>30</v>
      </c>
      <c r="E242" s="4">
        <v>72961.95</v>
      </c>
      <c r="F242" s="4">
        <v>9996</v>
      </c>
      <c r="G242" s="4">
        <v>0.106</v>
      </c>
      <c r="H242" s="4">
        <v>22</v>
      </c>
      <c r="I242" s="4">
        <v>89.1</v>
      </c>
      <c r="J242" s="4">
        <v>15.66</v>
      </c>
      <c r="K242" s="4" t="s">
        <v>108</v>
      </c>
      <c r="L242" s="4">
        <v>0</v>
      </c>
      <c r="M242" s="4">
        <v>3.4</v>
      </c>
      <c r="N242" s="4" t="s">
        <v>108</v>
      </c>
      <c r="O242" s="4">
        <v>810355.02</v>
      </c>
      <c r="P242" s="4">
        <v>131510</v>
      </c>
    </row>
    <row r="243" spans="1:16" x14ac:dyDescent="0.35">
      <c r="A243" s="4" t="s">
        <v>83</v>
      </c>
      <c r="B243" s="5">
        <v>45717</v>
      </c>
      <c r="C243" s="4" t="s">
        <v>29</v>
      </c>
      <c r="D243" s="4" t="s">
        <v>30</v>
      </c>
      <c r="E243" s="4">
        <v>59060.05</v>
      </c>
      <c r="F243" s="4">
        <v>9702</v>
      </c>
      <c r="G243" s="4">
        <v>0.20100000000000001</v>
      </c>
      <c r="H243" s="4">
        <v>23</v>
      </c>
      <c r="I243" s="4">
        <v>80.900000000000006</v>
      </c>
      <c r="J243" s="4">
        <v>6.96</v>
      </c>
      <c r="K243" s="4" t="s">
        <v>108</v>
      </c>
      <c r="L243" s="4">
        <v>0</v>
      </c>
      <c r="M243" s="4">
        <v>3.2</v>
      </c>
      <c r="N243" s="4" t="s">
        <v>108</v>
      </c>
      <c r="O243" s="4">
        <v>761919.25</v>
      </c>
      <c r="P243" s="4">
        <v>111893.06</v>
      </c>
    </row>
    <row r="244" spans="1:16" x14ac:dyDescent="0.35">
      <c r="A244" s="4" t="s">
        <v>83</v>
      </c>
      <c r="B244" s="5">
        <v>45748</v>
      </c>
      <c r="C244" s="4" t="s">
        <v>29</v>
      </c>
      <c r="D244" s="4" t="s">
        <v>30</v>
      </c>
      <c r="E244" s="4">
        <v>26248.1</v>
      </c>
      <c r="F244" s="4">
        <v>9314</v>
      </c>
      <c r="G244" s="4">
        <v>0.186</v>
      </c>
      <c r="H244" s="4">
        <v>21</v>
      </c>
      <c r="I244" s="4">
        <v>83.7</v>
      </c>
      <c r="J244" s="4">
        <v>4.62</v>
      </c>
      <c r="K244" s="4" t="s">
        <v>108</v>
      </c>
      <c r="L244" s="4">
        <v>0</v>
      </c>
      <c r="M244" s="4">
        <v>3.3</v>
      </c>
      <c r="N244" s="4" t="s">
        <v>108</v>
      </c>
      <c r="O244" s="4">
        <v>737070.18</v>
      </c>
      <c r="P244" s="4">
        <v>117593.97</v>
      </c>
    </row>
    <row r="245" spans="1:16" x14ac:dyDescent="0.35">
      <c r="A245" s="4" t="s">
        <v>84</v>
      </c>
      <c r="B245" s="5">
        <v>45658</v>
      </c>
      <c r="C245" s="4" t="s">
        <v>26</v>
      </c>
      <c r="D245" s="4" t="s">
        <v>23</v>
      </c>
      <c r="E245" s="4">
        <v>69900.12</v>
      </c>
      <c r="F245" s="4">
        <v>8055</v>
      </c>
      <c r="G245" s="4">
        <v>0.28100000000000003</v>
      </c>
      <c r="H245" s="4">
        <v>22</v>
      </c>
      <c r="I245" s="4">
        <v>85.6</v>
      </c>
      <c r="J245" s="4">
        <v>10.68</v>
      </c>
      <c r="K245" s="4" t="s">
        <v>108</v>
      </c>
      <c r="L245" s="4">
        <v>1</v>
      </c>
      <c r="M245" s="4">
        <v>2.9</v>
      </c>
      <c r="N245" s="4" t="s">
        <v>108</v>
      </c>
      <c r="O245" s="4">
        <v>776992.93</v>
      </c>
      <c r="P245" s="4">
        <v>101598.32</v>
      </c>
    </row>
    <row r="246" spans="1:16" x14ac:dyDescent="0.35">
      <c r="A246" s="4" t="s">
        <v>84</v>
      </c>
      <c r="B246" s="5">
        <v>45689</v>
      </c>
      <c r="C246" s="4" t="s">
        <v>26</v>
      </c>
      <c r="D246" s="4" t="s">
        <v>23</v>
      </c>
      <c r="E246" s="4">
        <v>51781.599999999999</v>
      </c>
      <c r="F246" s="4">
        <v>5648</v>
      </c>
      <c r="G246" s="4">
        <v>5.8999999999999997E-2</v>
      </c>
      <c r="H246" s="4">
        <v>13</v>
      </c>
      <c r="I246" s="4">
        <v>85.5</v>
      </c>
      <c r="J246" s="4">
        <v>4.04</v>
      </c>
      <c r="K246" s="4" t="s">
        <v>108</v>
      </c>
      <c r="L246" s="4">
        <v>0</v>
      </c>
      <c r="M246" s="4">
        <v>3.7</v>
      </c>
      <c r="N246" s="4" t="s">
        <v>108</v>
      </c>
      <c r="O246" s="4">
        <v>676337.41</v>
      </c>
      <c r="P246" s="4">
        <v>104355.77</v>
      </c>
    </row>
    <row r="247" spans="1:16" x14ac:dyDescent="0.35">
      <c r="A247" s="4" t="s">
        <v>84</v>
      </c>
      <c r="B247" s="5">
        <v>45717</v>
      </c>
      <c r="C247" s="4" t="s">
        <v>26</v>
      </c>
      <c r="D247" s="4" t="s">
        <v>23</v>
      </c>
      <c r="E247" s="4">
        <v>70799.64</v>
      </c>
      <c r="F247" s="4">
        <v>10076</v>
      </c>
      <c r="G247" s="4">
        <v>0.152</v>
      </c>
      <c r="H247" s="4">
        <v>24</v>
      </c>
      <c r="I247" s="4">
        <v>84.8</v>
      </c>
      <c r="J247" s="4">
        <v>1.87</v>
      </c>
      <c r="K247" s="4" t="s">
        <v>108</v>
      </c>
      <c r="L247" s="4">
        <v>0</v>
      </c>
      <c r="M247" s="4">
        <v>3.5</v>
      </c>
      <c r="N247" s="4" t="s">
        <v>108</v>
      </c>
      <c r="O247" s="4">
        <v>828219.67</v>
      </c>
      <c r="P247" s="4">
        <v>179806.87</v>
      </c>
    </row>
    <row r="248" spans="1:16" x14ac:dyDescent="0.35">
      <c r="A248" s="4" t="s">
        <v>84</v>
      </c>
      <c r="B248" s="5">
        <v>45748</v>
      </c>
      <c r="C248" s="4" t="s">
        <v>26</v>
      </c>
      <c r="D248" s="4" t="s">
        <v>23</v>
      </c>
      <c r="E248" s="4">
        <v>53546.34</v>
      </c>
      <c r="F248" s="4">
        <v>8004</v>
      </c>
      <c r="G248" s="4">
        <v>0</v>
      </c>
      <c r="H248" s="4">
        <v>21</v>
      </c>
      <c r="I248" s="4">
        <v>95.2</v>
      </c>
      <c r="J248" s="4">
        <v>2.83</v>
      </c>
      <c r="K248" s="4" t="s">
        <v>108</v>
      </c>
      <c r="L248" s="4">
        <v>0</v>
      </c>
      <c r="M248" s="4">
        <v>3</v>
      </c>
      <c r="N248" s="4" t="s">
        <v>108</v>
      </c>
      <c r="O248" s="4">
        <v>763159.92</v>
      </c>
      <c r="P248" s="4">
        <v>177104.87</v>
      </c>
    </row>
    <row r="249" spans="1:16" x14ac:dyDescent="0.35">
      <c r="A249" s="4" t="s">
        <v>85</v>
      </c>
      <c r="B249" s="5">
        <v>45658</v>
      </c>
      <c r="C249" s="4" t="s">
        <v>17</v>
      </c>
      <c r="D249" s="4" t="s">
        <v>20</v>
      </c>
      <c r="E249" s="4">
        <v>76942.2</v>
      </c>
      <c r="F249" s="4">
        <v>8934</v>
      </c>
      <c r="G249" s="4">
        <v>8.4000000000000005E-2</v>
      </c>
      <c r="H249" s="4">
        <v>20</v>
      </c>
      <c r="I249" s="4">
        <v>91</v>
      </c>
      <c r="J249" s="4">
        <v>0.95</v>
      </c>
      <c r="K249" s="4" t="s">
        <v>108</v>
      </c>
      <c r="L249" s="4">
        <v>0</v>
      </c>
      <c r="M249" s="4">
        <v>3.2</v>
      </c>
      <c r="N249" s="4" t="s">
        <v>108</v>
      </c>
      <c r="O249" s="4">
        <v>802001.68</v>
      </c>
      <c r="P249" s="4">
        <v>159715.82</v>
      </c>
    </row>
    <row r="250" spans="1:16" x14ac:dyDescent="0.35">
      <c r="A250" s="4" t="s">
        <v>85</v>
      </c>
      <c r="B250" s="5">
        <v>45689</v>
      </c>
      <c r="C250" s="4" t="s">
        <v>17</v>
      </c>
      <c r="D250" s="4" t="s">
        <v>20</v>
      </c>
      <c r="E250" s="4">
        <v>48060.78</v>
      </c>
      <c r="F250" s="4">
        <v>8733</v>
      </c>
      <c r="G250" s="4">
        <v>0</v>
      </c>
      <c r="H250" s="4">
        <v>20</v>
      </c>
      <c r="I250" s="4">
        <v>89.9</v>
      </c>
      <c r="J250" s="4">
        <v>0.8</v>
      </c>
      <c r="K250" s="4" t="s">
        <v>108</v>
      </c>
      <c r="L250" s="4">
        <v>0</v>
      </c>
      <c r="M250" s="4">
        <v>3.4</v>
      </c>
      <c r="N250" s="4" t="s">
        <v>108</v>
      </c>
      <c r="O250" s="4">
        <v>750471.34</v>
      </c>
      <c r="P250" s="4">
        <v>133788.04</v>
      </c>
    </row>
    <row r="251" spans="1:16" x14ac:dyDescent="0.35">
      <c r="A251" s="4" t="s">
        <v>85</v>
      </c>
      <c r="B251" s="5">
        <v>45717</v>
      </c>
      <c r="C251" s="4" t="s">
        <v>17</v>
      </c>
      <c r="D251" s="4" t="s">
        <v>20</v>
      </c>
      <c r="E251" s="4">
        <v>57390.04</v>
      </c>
      <c r="F251" s="4">
        <v>7374</v>
      </c>
      <c r="G251" s="4">
        <v>0.21</v>
      </c>
      <c r="H251" s="4">
        <v>21</v>
      </c>
      <c r="I251" s="4">
        <v>91.8</v>
      </c>
      <c r="J251" s="4">
        <v>0.2</v>
      </c>
      <c r="K251" s="4" t="s">
        <v>108</v>
      </c>
      <c r="L251" s="4">
        <v>0</v>
      </c>
      <c r="M251" s="4">
        <v>3.1</v>
      </c>
      <c r="N251" s="4" t="s">
        <v>108</v>
      </c>
      <c r="O251" s="4">
        <v>679230.86</v>
      </c>
      <c r="P251" s="4">
        <v>106927.58</v>
      </c>
    </row>
    <row r="252" spans="1:16" x14ac:dyDescent="0.35">
      <c r="A252" s="4" t="s">
        <v>85</v>
      </c>
      <c r="B252" s="5">
        <v>45748</v>
      </c>
      <c r="C252" s="4" t="s">
        <v>17</v>
      </c>
      <c r="D252" s="4" t="s">
        <v>20</v>
      </c>
      <c r="E252" s="4">
        <v>21536.18</v>
      </c>
      <c r="F252" s="4">
        <v>8119</v>
      </c>
      <c r="G252" s="4">
        <v>0.22700000000000001</v>
      </c>
      <c r="H252" s="4">
        <v>20</v>
      </c>
      <c r="I252" s="4">
        <v>90.4</v>
      </c>
      <c r="J252" s="4">
        <v>1.7</v>
      </c>
      <c r="K252" s="4" t="s">
        <v>108</v>
      </c>
      <c r="L252" s="4">
        <v>0</v>
      </c>
      <c r="M252" s="4">
        <v>3.3</v>
      </c>
      <c r="N252" s="4" t="s">
        <v>108</v>
      </c>
      <c r="O252" s="4">
        <v>679888.74</v>
      </c>
      <c r="P252" s="4">
        <v>83406.89</v>
      </c>
    </row>
    <row r="253" spans="1:16" x14ac:dyDescent="0.35">
      <c r="A253" s="4" t="s">
        <v>86</v>
      </c>
      <c r="B253" s="5">
        <v>45658</v>
      </c>
      <c r="C253" s="4" t="s">
        <v>22</v>
      </c>
      <c r="D253" s="4" t="s">
        <v>20</v>
      </c>
      <c r="E253" s="4">
        <v>40923.67</v>
      </c>
      <c r="F253" s="4">
        <v>3875</v>
      </c>
      <c r="G253" s="4">
        <v>0.15</v>
      </c>
      <c r="H253" s="4">
        <v>10</v>
      </c>
      <c r="I253" s="4">
        <v>96.1</v>
      </c>
      <c r="J253" s="4">
        <v>3.3650000000000002</v>
      </c>
      <c r="K253" s="4" t="s">
        <v>109</v>
      </c>
      <c r="L253" s="4">
        <v>0</v>
      </c>
      <c r="M253" s="4">
        <v>3.8</v>
      </c>
      <c r="N253" s="4" t="s">
        <v>108</v>
      </c>
      <c r="O253" s="4">
        <v>606783.67000000004</v>
      </c>
      <c r="P253" s="4">
        <v>74515.87</v>
      </c>
    </row>
    <row r="254" spans="1:16" x14ac:dyDescent="0.35">
      <c r="A254" s="4" t="s">
        <v>86</v>
      </c>
      <c r="B254" s="5">
        <v>45689</v>
      </c>
      <c r="C254" s="4" t="s">
        <v>22</v>
      </c>
      <c r="D254" s="4" t="s">
        <v>20</v>
      </c>
      <c r="E254" s="4">
        <v>72932.55</v>
      </c>
      <c r="F254" s="4">
        <v>5765</v>
      </c>
      <c r="G254" s="4">
        <v>2.5999999999999999E-2</v>
      </c>
      <c r="H254" s="4">
        <v>17</v>
      </c>
      <c r="I254" s="4">
        <v>81.8</v>
      </c>
      <c r="J254" s="4">
        <v>5.0999999999999996</v>
      </c>
      <c r="K254" s="4" t="s">
        <v>108</v>
      </c>
      <c r="L254" s="4">
        <v>0</v>
      </c>
      <c r="M254" s="4">
        <v>3.6</v>
      </c>
      <c r="N254" s="4" t="s">
        <v>108</v>
      </c>
      <c r="O254" s="4">
        <v>642751.42000000004</v>
      </c>
      <c r="P254" s="4">
        <v>131942.15</v>
      </c>
    </row>
    <row r="255" spans="1:16" x14ac:dyDescent="0.35">
      <c r="A255" s="4" t="s">
        <v>86</v>
      </c>
      <c r="B255" s="5">
        <v>45717</v>
      </c>
      <c r="C255" s="4" t="s">
        <v>22</v>
      </c>
      <c r="D255" s="4" t="s">
        <v>20</v>
      </c>
      <c r="E255" s="4">
        <v>38361.93</v>
      </c>
      <c r="F255" s="4">
        <v>6322</v>
      </c>
      <c r="G255" s="4">
        <v>0.27300000000000002</v>
      </c>
      <c r="H255" s="4">
        <v>15</v>
      </c>
      <c r="I255" s="4">
        <v>88.4</v>
      </c>
      <c r="J255" s="4">
        <v>0.83</v>
      </c>
      <c r="K255" s="4" t="s">
        <v>108</v>
      </c>
      <c r="L255" s="4">
        <v>0</v>
      </c>
      <c r="M255" s="4">
        <v>4</v>
      </c>
      <c r="N255" s="4" t="s">
        <v>108</v>
      </c>
      <c r="O255" s="4">
        <v>647953.78</v>
      </c>
      <c r="P255" s="4">
        <v>118497.43</v>
      </c>
    </row>
    <row r="256" spans="1:16" x14ac:dyDescent="0.35">
      <c r="A256" s="4" t="s">
        <v>86</v>
      </c>
      <c r="B256" s="5">
        <v>45748</v>
      </c>
      <c r="C256" s="4" t="s">
        <v>22</v>
      </c>
      <c r="D256" s="4" t="s">
        <v>20</v>
      </c>
      <c r="E256" s="4">
        <v>97480.94</v>
      </c>
      <c r="F256" s="4">
        <v>6840</v>
      </c>
      <c r="G256" s="4">
        <v>8.6999999999999994E-2</v>
      </c>
      <c r="H256" s="4">
        <v>14</v>
      </c>
      <c r="I256" s="4">
        <v>79.2</v>
      </c>
      <c r="J256" s="4">
        <v>1.1399999999999999</v>
      </c>
      <c r="K256" s="4" t="s">
        <v>108</v>
      </c>
      <c r="L256" s="4">
        <v>0</v>
      </c>
      <c r="M256" s="4">
        <v>4</v>
      </c>
      <c r="N256" s="4" t="s">
        <v>108</v>
      </c>
      <c r="O256" s="4">
        <v>729440.45</v>
      </c>
      <c r="P256" s="4">
        <v>87614.29</v>
      </c>
    </row>
    <row r="257" spans="1:16" x14ac:dyDescent="0.35">
      <c r="A257" s="4" t="s">
        <v>87</v>
      </c>
      <c r="B257" s="5">
        <v>45658</v>
      </c>
      <c r="C257" s="4" t="s">
        <v>26</v>
      </c>
      <c r="D257" s="4" t="s">
        <v>23</v>
      </c>
      <c r="E257" s="4">
        <v>81801.8</v>
      </c>
      <c r="F257" s="4">
        <v>6782</v>
      </c>
      <c r="G257" s="4">
        <v>0.05</v>
      </c>
      <c r="H257" s="4">
        <v>16</v>
      </c>
      <c r="I257" s="4">
        <v>99</v>
      </c>
      <c r="J257" s="4">
        <v>9.5399999999999991</v>
      </c>
      <c r="K257" s="4" t="s">
        <v>108</v>
      </c>
      <c r="L257" s="4">
        <v>0</v>
      </c>
      <c r="M257" s="4">
        <v>3.7</v>
      </c>
      <c r="N257" s="4" t="s">
        <v>108</v>
      </c>
      <c r="O257" s="4">
        <v>764949</v>
      </c>
      <c r="P257" s="4">
        <v>148322.43</v>
      </c>
    </row>
    <row r="258" spans="1:16" x14ac:dyDescent="0.35">
      <c r="A258" s="4" t="s">
        <v>87</v>
      </c>
      <c r="B258" s="5">
        <v>45689</v>
      </c>
      <c r="C258" s="4" t="s">
        <v>26</v>
      </c>
      <c r="D258" s="4" t="s">
        <v>23</v>
      </c>
      <c r="E258" s="4">
        <v>63582.11</v>
      </c>
      <c r="F258" s="4">
        <v>6856</v>
      </c>
      <c r="G258" s="4">
        <v>7.3999999999999996E-2</v>
      </c>
      <c r="H258" s="4">
        <v>17</v>
      </c>
      <c r="I258" s="4">
        <v>89.5</v>
      </c>
      <c r="J258" s="4">
        <v>5.48</v>
      </c>
      <c r="K258" s="4" t="s">
        <v>108</v>
      </c>
      <c r="L258" s="4">
        <v>0</v>
      </c>
      <c r="M258" s="4">
        <v>3.2</v>
      </c>
      <c r="N258" s="4" t="s">
        <v>108</v>
      </c>
      <c r="O258" s="4">
        <v>799046.94</v>
      </c>
      <c r="P258" s="4">
        <v>144553.64000000001</v>
      </c>
    </row>
    <row r="259" spans="1:16" x14ac:dyDescent="0.35">
      <c r="A259" s="4" t="s">
        <v>87</v>
      </c>
      <c r="B259" s="5">
        <v>45717</v>
      </c>
      <c r="C259" s="4" t="s">
        <v>26</v>
      </c>
      <c r="D259" s="4" t="s">
        <v>23</v>
      </c>
      <c r="E259" s="4">
        <v>75412.740000000005</v>
      </c>
      <c r="F259" s="4">
        <v>5641</v>
      </c>
      <c r="G259" s="4">
        <v>5.8999999999999997E-2</v>
      </c>
      <c r="H259" s="4">
        <v>13</v>
      </c>
      <c r="I259" s="4">
        <v>87.9</v>
      </c>
      <c r="J259" s="4">
        <v>0.84</v>
      </c>
      <c r="K259" s="4" t="s">
        <v>108</v>
      </c>
      <c r="L259" s="4">
        <v>0</v>
      </c>
      <c r="M259" s="4">
        <v>3.6</v>
      </c>
      <c r="N259" s="4" t="s">
        <v>108</v>
      </c>
      <c r="O259" s="4">
        <v>720079.54</v>
      </c>
      <c r="P259" s="4">
        <v>119499.47</v>
      </c>
    </row>
    <row r="260" spans="1:16" x14ac:dyDescent="0.35">
      <c r="A260" s="4" t="s">
        <v>87</v>
      </c>
      <c r="B260" s="5">
        <v>45748</v>
      </c>
      <c r="C260" s="4" t="s">
        <v>26</v>
      </c>
      <c r="D260" s="4" t="s">
        <v>23</v>
      </c>
      <c r="E260" s="4">
        <v>36290.080000000002</v>
      </c>
      <c r="F260" s="4">
        <v>5787</v>
      </c>
      <c r="G260" s="4">
        <v>0</v>
      </c>
      <c r="H260" s="4">
        <v>17</v>
      </c>
      <c r="I260" s="4">
        <v>88.3</v>
      </c>
      <c r="J260" s="4">
        <v>4.1900000000000004</v>
      </c>
      <c r="K260" s="4" t="s">
        <v>108</v>
      </c>
      <c r="L260" s="4">
        <v>0</v>
      </c>
      <c r="M260" s="4">
        <v>4.0999999999999996</v>
      </c>
      <c r="N260" s="4" t="s">
        <v>108</v>
      </c>
      <c r="O260" s="4">
        <v>612390.14</v>
      </c>
      <c r="P260" s="4">
        <v>108985.74</v>
      </c>
    </row>
    <row r="261" spans="1:16" x14ac:dyDescent="0.35">
      <c r="A261" s="4" t="s">
        <v>88</v>
      </c>
      <c r="B261" s="5">
        <v>45658</v>
      </c>
      <c r="C261" s="4" t="s">
        <v>26</v>
      </c>
      <c r="D261" s="4" t="s">
        <v>30</v>
      </c>
      <c r="E261" s="4">
        <v>65272.58</v>
      </c>
      <c r="F261" s="4">
        <v>8165</v>
      </c>
      <c r="G261" s="4">
        <v>5.0999999999999997E-2</v>
      </c>
      <c r="H261" s="4">
        <v>19</v>
      </c>
      <c r="I261" s="4">
        <v>87.8</v>
      </c>
      <c r="J261" s="4">
        <v>1.26</v>
      </c>
      <c r="K261" s="4" t="s">
        <v>108</v>
      </c>
      <c r="L261" s="4">
        <v>1</v>
      </c>
      <c r="M261" s="4">
        <v>4.3</v>
      </c>
      <c r="N261" s="4" t="s">
        <v>108</v>
      </c>
      <c r="O261" s="4">
        <v>840108.12</v>
      </c>
      <c r="P261" s="4">
        <v>126587.01</v>
      </c>
    </row>
    <row r="262" spans="1:16" x14ac:dyDescent="0.35">
      <c r="A262" s="4" t="s">
        <v>88</v>
      </c>
      <c r="B262" s="5">
        <v>45689</v>
      </c>
      <c r="C262" s="4" t="s">
        <v>26</v>
      </c>
      <c r="D262" s="4" t="s">
        <v>30</v>
      </c>
      <c r="E262" s="4">
        <v>28670.43</v>
      </c>
      <c r="F262" s="4">
        <v>7574</v>
      </c>
      <c r="G262" s="4">
        <v>0.114</v>
      </c>
      <c r="H262" s="4">
        <v>19</v>
      </c>
      <c r="I262" s="4">
        <v>82.7</v>
      </c>
      <c r="J262" s="4">
        <v>2.74</v>
      </c>
      <c r="K262" s="4" t="s">
        <v>108</v>
      </c>
      <c r="L262" s="4">
        <v>0</v>
      </c>
      <c r="M262" s="4">
        <v>4.5999999999999996</v>
      </c>
      <c r="N262" s="4" t="s">
        <v>108</v>
      </c>
      <c r="O262" s="4">
        <v>697888.09</v>
      </c>
      <c r="P262" s="4">
        <v>116249.87</v>
      </c>
    </row>
    <row r="263" spans="1:16" x14ac:dyDescent="0.35">
      <c r="A263" s="4" t="s">
        <v>88</v>
      </c>
      <c r="B263" s="5">
        <v>45717</v>
      </c>
      <c r="C263" s="4" t="s">
        <v>26</v>
      </c>
      <c r="D263" s="4" t="s">
        <v>30</v>
      </c>
      <c r="E263" s="4">
        <v>44189.34</v>
      </c>
      <c r="F263" s="4">
        <v>8634</v>
      </c>
      <c r="G263" s="4">
        <v>0.14299999999999999</v>
      </c>
      <c r="H263" s="4">
        <v>19</v>
      </c>
      <c r="I263" s="4">
        <v>87.5</v>
      </c>
      <c r="J263" s="4">
        <v>3.69</v>
      </c>
      <c r="K263" s="4" t="s">
        <v>108</v>
      </c>
      <c r="L263" s="4">
        <v>0</v>
      </c>
      <c r="M263" s="4">
        <v>4.4000000000000004</v>
      </c>
      <c r="N263" s="4" t="s">
        <v>108</v>
      </c>
      <c r="O263" s="4">
        <v>746115.59</v>
      </c>
      <c r="P263" s="4">
        <v>94662.96</v>
      </c>
    </row>
    <row r="264" spans="1:16" x14ac:dyDescent="0.35">
      <c r="A264" s="4" t="s">
        <v>88</v>
      </c>
      <c r="B264" s="5">
        <v>45748</v>
      </c>
      <c r="C264" s="4" t="s">
        <v>26</v>
      </c>
      <c r="D264" s="4" t="s">
        <v>30</v>
      </c>
      <c r="E264" s="4">
        <v>38397.82</v>
      </c>
      <c r="F264" s="4">
        <v>7836</v>
      </c>
      <c r="G264" s="4">
        <v>7.0000000000000001E-3</v>
      </c>
      <c r="H264" s="4">
        <v>21</v>
      </c>
      <c r="I264" s="4">
        <v>92.2</v>
      </c>
      <c r="J264" s="4">
        <v>1.82</v>
      </c>
      <c r="K264" s="4" t="s">
        <v>108</v>
      </c>
      <c r="L264" s="4">
        <v>0</v>
      </c>
      <c r="M264" s="4">
        <v>3.6</v>
      </c>
      <c r="N264" s="4" t="s">
        <v>108</v>
      </c>
      <c r="O264" s="4">
        <v>776110.32</v>
      </c>
      <c r="P264" s="4">
        <v>139676.21</v>
      </c>
    </row>
    <row r="265" spans="1:16" x14ac:dyDescent="0.35">
      <c r="A265" s="4" t="s">
        <v>89</v>
      </c>
      <c r="B265" s="5">
        <v>45658</v>
      </c>
      <c r="C265" s="4" t="s">
        <v>29</v>
      </c>
      <c r="D265" s="4" t="s">
        <v>20</v>
      </c>
      <c r="E265" s="4">
        <v>14519.37</v>
      </c>
      <c r="F265" s="4">
        <v>3047</v>
      </c>
      <c r="G265" s="4">
        <v>0.13500000000000001</v>
      </c>
      <c r="H265" s="4">
        <v>10</v>
      </c>
      <c r="I265" s="4">
        <v>90.3</v>
      </c>
      <c r="J265" s="4">
        <v>6.62</v>
      </c>
      <c r="K265" s="4" t="s">
        <v>108</v>
      </c>
      <c r="L265" s="4">
        <v>0</v>
      </c>
      <c r="M265" s="4">
        <v>4.2</v>
      </c>
      <c r="N265" s="4" t="s">
        <v>108</v>
      </c>
      <c r="O265" s="4">
        <v>528852.62</v>
      </c>
      <c r="P265" s="4">
        <v>68426.210000000006</v>
      </c>
    </row>
    <row r="266" spans="1:16" x14ac:dyDescent="0.35">
      <c r="A266" s="4" t="s">
        <v>89</v>
      </c>
      <c r="B266" s="5">
        <v>45689</v>
      </c>
      <c r="C266" s="4" t="s">
        <v>29</v>
      </c>
      <c r="D266" s="4" t="s">
        <v>20</v>
      </c>
      <c r="E266" s="4">
        <v>43288.2</v>
      </c>
      <c r="F266" s="4">
        <v>4783</v>
      </c>
      <c r="G266" s="4">
        <v>0.16900000000000001</v>
      </c>
      <c r="H266" s="4">
        <v>13</v>
      </c>
      <c r="I266" s="4">
        <v>87.3</v>
      </c>
      <c r="J266" s="4">
        <v>3.3650000000000002</v>
      </c>
      <c r="K266" s="4" t="s">
        <v>109</v>
      </c>
      <c r="L266" s="4">
        <v>0</v>
      </c>
      <c r="M266" s="4">
        <v>4.2</v>
      </c>
      <c r="N266" s="4" t="s">
        <v>108</v>
      </c>
      <c r="O266" s="4">
        <v>605751.32999999996</v>
      </c>
      <c r="P266" s="4">
        <v>60685.53</v>
      </c>
    </row>
    <row r="267" spans="1:16" x14ac:dyDescent="0.35">
      <c r="A267" s="4" t="s">
        <v>89</v>
      </c>
      <c r="B267" s="5">
        <v>45717</v>
      </c>
      <c r="C267" s="4" t="s">
        <v>29</v>
      </c>
      <c r="D267" s="4" t="s">
        <v>20</v>
      </c>
      <c r="E267" s="4">
        <v>51450.55</v>
      </c>
      <c r="F267" s="4">
        <v>4902</v>
      </c>
      <c r="G267" s="4">
        <v>8.5999999999999993E-2</v>
      </c>
      <c r="H267" s="4">
        <v>11</v>
      </c>
      <c r="I267" s="4">
        <v>83.7</v>
      </c>
      <c r="J267" s="4">
        <v>6.92</v>
      </c>
      <c r="K267" s="4" t="s">
        <v>108</v>
      </c>
      <c r="L267" s="4">
        <v>1</v>
      </c>
      <c r="M267" s="4">
        <v>4.2</v>
      </c>
      <c r="N267" s="4" t="s">
        <v>108</v>
      </c>
      <c r="O267" s="4">
        <v>677640.65</v>
      </c>
      <c r="P267" s="4">
        <v>111610.89</v>
      </c>
    </row>
    <row r="268" spans="1:16" x14ac:dyDescent="0.35">
      <c r="A268" s="4" t="s">
        <v>89</v>
      </c>
      <c r="B268" s="5">
        <v>45748</v>
      </c>
      <c r="C268" s="4" t="s">
        <v>29</v>
      </c>
      <c r="D268" s="4" t="s">
        <v>20</v>
      </c>
      <c r="E268" s="4">
        <v>58688.26</v>
      </c>
      <c r="F268" s="4">
        <v>4022</v>
      </c>
      <c r="G268" s="4">
        <v>0.217</v>
      </c>
      <c r="H268" s="4">
        <v>12</v>
      </c>
      <c r="I268" s="4">
        <v>93.8</v>
      </c>
      <c r="J268" s="4">
        <v>11.78</v>
      </c>
      <c r="K268" s="4" t="s">
        <v>108</v>
      </c>
      <c r="L268" s="4">
        <v>0</v>
      </c>
      <c r="M268" s="4">
        <v>3.7</v>
      </c>
      <c r="N268" s="4" t="s">
        <v>108</v>
      </c>
      <c r="O268" s="4">
        <v>636613.23</v>
      </c>
      <c r="P268" s="4">
        <v>78908.350000000006</v>
      </c>
    </row>
    <row r="269" spans="1:16" x14ac:dyDescent="0.35">
      <c r="A269" s="4" t="s">
        <v>90</v>
      </c>
      <c r="B269" s="5">
        <v>45658</v>
      </c>
      <c r="C269" s="4" t="s">
        <v>17</v>
      </c>
      <c r="D269" s="4" t="s">
        <v>20</v>
      </c>
      <c r="E269" s="4">
        <v>58981.91</v>
      </c>
      <c r="F269" s="4">
        <v>7324</v>
      </c>
      <c r="G269" s="4">
        <v>9.4E-2</v>
      </c>
      <c r="H269" s="4">
        <v>15</v>
      </c>
      <c r="I269" s="4">
        <v>95.8</v>
      </c>
      <c r="J269" s="4">
        <v>0.5</v>
      </c>
      <c r="K269" s="4" t="s">
        <v>108</v>
      </c>
      <c r="L269" s="4">
        <v>0</v>
      </c>
      <c r="M269" s="4">
        <v>3.5</v>
      </c>
      <c r="N269" s="4" t="s">
        <v>108</v>
      </c>
      <c r="O269" s="4">
        <v>708985.19</v>
      </c>
      <c r="P269" s="4">
        <v>125368.16</v>
      </c>
    </row>
    <row r="270" spans="1:16" x14ac:dyDescent="0.35">
      <c r="A270" s="4" t="s">
        <v>90</v>
      </c>
      <c r="B270" s="5">
        <v>45689</v>
      </c>
      <c r="C270" s="4" t="s">
        <v>17</v>
      </c>
      <c r="D270" s="4" t="s">
        <v>20</v>
      </c>
      <c r="E270" s="4">
        <v>73454.539999999994</v>
      </c>
      <c r="F270" s="4">
        <v>8129</v>
      </c>
      <c r="G270" s="4">
        <v>0.21099999999999999</v>
      </c>
      <c r="H270" s="4">
        <v>20</v>
      </c>
      <c r="I270" s="4">
        <v>85.2</v>
      </c>
      <c r="J270" s="4">
        <v>0.88</v>
      </c>
      <c r="K270" s="4" t="s">
        <v>108</v>
      </c>
      <c r="L270" s="4">
        <v>0</v>
      </c>
      <c r="M270" s="4">
        <v>3.7</v>
      </c>
      <c r="N270" s="4" t="s">
        <v>108</v>
      </c>
      <c r="O270" s="4">
        <v>767792.94</v>
      </c>
      <c r="P270" s="4">
        <v>96235.77</v>
      </c>
    </row>
    <row r="271" spans="1:16" x14ac:dyDescent="0.35">
      <c r="A271" s="4" t="s">
        <v>90</v>
      </c>
      <c r="B271" s="5">
        <v>45717</v>
      </c>
      <c r="C271" s="4" t="s">
        <v>17</v>
      </c>
      <c r="D271" s="4" t="s">
        <v>20</v>
      </c>
      <c r="E271" s="4">
        <v>56602.39</v>
      </c>
      <c r="F271" s="4">
        <v>7969</v>
      </c>
      <c r="G271" s="4">
        <v>0.17</v>
      </c>
      <c r="H271" s="4">
        <v>21</v>
      </c>
      <c r="I271" s="4">
        <v>88.3</v>
      </c>
      <c r="J271" s="4">
        <v>2.25</v>
      </c>
      <c r="K271" s="4" t="s">
        <v>108</v>
      </c>
      <c r="L271" s="4">
        <v>0</v>
      </c>
      <c r="M271" s="4">
        <v>3.7</v>
      </c>
      <c r="N271" s="4" t="s">
        <v>108</v>
      </c>
      <c r="O271" s="4">
        <v>745580.51</v>
      </c>
      <c r="P271" s="4">
        <v>116273.68</v>
      </c>
    </row>
    <row r="272" spans="1:16" x14ac:dyDescent="0.35">
      <c r="A272" s="4" t="s">
        <v>90</v>
      </c>
      <c r="B272" s="5">
        <v>45748</v>
      </c>
      <c r="C272" s="4" t="s">
        <v>17</v>
      </c>
      <c r="D272" s="4" t="s">
        <v>20</v>
      </c>
      <c r="E272" s="4">
        <v>67722.289999999994</v>
      </c>
      <c r="F272" s="4">
        <v>7240</v>
      </c>
      <c r="G272" s="4">
        <v>2.5999999999999999E-2</v>
      </c>
      <c r="H272" s="4">
        <v>15</v>
      </c>
      <c r="I272" s="4">
        <v>92.9</v>
      </c>
      <c r="J272" s="4">
        <v>0.28999999999999998</v>
      </c>
      <c r="K272" s="4" t="s">
        <v>108</v>
      </c>
      <c r="L272" s="4">
        <v>0</v>
      </c>
      <c r="M272" s="4">
        <v>3.5</v>
      </c>
      <c r="N272" s="4" t="s">
        <v>108</v>
      </c>
      <c r="O272" s="4">
        <v>762328.31</v>
      </c>
      <c r="P272" s="4">
        <v>159158.19</v>
      </c>
    </row>
    <row r="273" spans="1:16" x14ac:dyDescent="0.35">
      <c r="A273" s="4" t="s">
        <v>91</v>
      </c>
      <c r="B273" s="5">
        <v>45658</v>
      </c>
      <c r="C273" s="4" t="s">
        <v>17</v>
      </c>
      <c r="D273" s="4" t="s">
        <v>30</v>
      </c>
      <c r="E273" s="4">
        <v>48752.92</v>
      </c>
      <c r="F273" s="4">
        <v>8052</v>
      </c>
      <c r="G273" s="4">
        <v>0.106</v>
      </c>
      <c r="H273" s="4">
        <v>16</v>
      </c>
      <c r="I273" s="4">
        <v>94.9</v>
      </c>
      <c r="J273" s="4">
        <v>0.65</v>
      </c>
      <c r="K273" s="4" t="s">
        <v>108</v>
      </c>
      <c r="L273" s="4">
        <v>0</v>
      </c>
      <c r="M273" s="4">
        <v>3.6</v>
      </c>
      <c r="N273" s="4" t="s">
        <v>108</v>
      </c>
      <c r="O273" s="4">
        <v>660633.99</v>
      </c>
      <c r="P273" s="4">
        <v>118768.66</v>
      </c>
    </row>
    <row r="274" spans="1:16" x14ac:dyDescent="0.35">
      <c r="A274" s="4" t="s">
        <v>91</v>
      </c>
      <c r="B274" s="5">
        <v>45689</v>
      </c>
      <c r="C274" s="4" t="s">
        <v>17</v>
      </c>
      <c r="D274" s="4" t="s">
        <v>30</v>
      </c>
      <c r="E274" s="4">
        <v>23914.97</v>
      </c>
      <c r="F274" s="4">
        <v>8018</v>
      </c>
      <c r="G274" s="4">
        <v>0.13900000000000001</v>
      </c>
      <c r="H274" s="4">
        <v>20</v>
      </c>
      <c r="I274" s="4">
        <v>89</v>
      </c>
      <c r="J274" s="4">
        <v>0.2</v>
      </c>
      <c r="K274" s="4" t="s">
        <v>108</v>
      </c>
      <c r="L274" s="4">
        <v>0</v>
      </c>
      <c r="M274" s="4">
        <v>3.5</v>
      </c>
      <c r="N274" s="4" t="s">
        <v>108</v>
      </c>
      <c r="O274" s="4">
        <v>739374.56</v>
      </c>
      <c r="P274" s="4">
        <v>121032.29</v>
      </c>
    </row>
    <row r="275" spans="1:16" x14ac:dyDescent="0.35">
      <c r="A275" s="4" t="s">
        <v>91</v>
      </c>
      <c r="B275" s="5">
        <v>45717</v>
      </c>
      <c r="C275" s="4" t="s">
        <v>17</v>
      </c>
      <c r="D275" s="4" t="s">
        <v>30</v>
      </c>
      <c r="E275" s="4">
        <v>61995.3</v>
      </c>
      <c r="F275" s="4">
        <v>10192</v>
      </c>
      <c r="G275" s="4">
        <v>0.19800000000000001</v>
      </c>
      <c r="H275" s="4">
        <v>21</v>
      </c>
      <c r="I275" s="4">
        <v>87.6</v>
      </c>
      <c r="J275" s="4">
        <v>3.63</v>
      </c>
      <c r="K275" s="4" t="s">
        <v>108</v>
      </c>
      <c r="L275" s="4">
        <v>1</v>
      </c>
      <c r="M275" s="4">
        <v>3.8</v>
      </c>
      <c r="N275" s="4" t="s">
        <v>108</v>
      </c>
      <c r="O275" s="4">
        <v>799756.46</v>
      </c>
      <c r="P275" s="4">
        <v>105052.93</v>
      </c>
    </row>
    <row r="276" spans="1:16" x14ac:dyDescent="0.35">
      <c r="A276" s="4" t="s">
        <v>91</v>
      </c>
      <c r="B276" s="5">
        <v>45748</v>
      </c>
      <c r="C276" s="4" t="s">
        <v>17</v>
      </c>
      <c r="D276" s="4" t="s">
        <v>30</v>
      </c>
      <c r="E276" s="4">
        <v>29344.93</v>
      </c>
      <c r="F276" s="4">
        <v>7446</v>
      </c>
      <c r="G276" s="4">
        <v>0.111</v>
      </c>
      <c r="H276" s="4">
        <v>15</v>
      </c>
      <c r="I276" s="4">
        <v>86.2</v>
      </c>
      <c r="J276" s="4">
        <v>0.2</v>
      </c>
      <c r="K276" s="4" t="s">
        <v>108</v>
      </c>
      <c r="L276" s="4">
        <v>0</v>
      </c>
      <c r="M276" s="4">
        <v>3.2</v>
      </c>
      <c r="N276" s="4" t="s">
        <v>108</v>
      </c>
      <c r="O276" s="4">
        <v>593343</v>
      </c>
      <c r="P276" s="4">
        <v>82832.240000000005</v>
      </c>
    </row>
    <row r="277" spans="1:16" x14ac:dyDescent="0.35">
      <c r="A277" s="4" t="s">
        <v>92</v>
      </c>
      <c r="B277" s="5">
        <v>45658</v>
      </c>
      <c r="C277" s="4" t="s">
        <v>29</v>
      </c>
      <c r="D277" s="4" t="s">
        <v>20</v>
      </c>
      <c r="E277" s="4">
        <v>50532.17</v>
      </c>
      <c r="F277" s="4">
        <v>5689</v>
      </c>
      <c r="G277" s="4">
        <v>5.1999999999999998E-2</v>
      </c>
      <c r="H277" s="4">
        <v>17</v>
      </c>
      <c r="I277" s="4">
        <v>85.6</v>
      </c>
      <c r="J277" s="4">
        <v>6.23</v>
      </c>
      <c r="K277" s="4" t="s">
        <v>108</v>
      </c>
      <c r="L277" s="4">
        <v>0</v>
      </c>
      <c r="M277" s="4">
        <v>3.3</v>
      </c>
      <c r="N277" s="4" t="s">
        <v>108</v>
      </c>
      <c r="O277" s="4">
        <v>645039.97</v>
      </c>
      <c r="P277" s="4">
        <v>83093.33</v>
      </c>
    </row>
    <row r="278" spans="1:16" x14ac:dyDescent="0.35">
      <c r="A278" s="4" t="s">
        <v>92</v>
      </c>
      <c r="B278" s="5">
        <v>45689</v>
      </c>
      <c r="C278" s="4" t="s">
        <v>29</v>
      </c>
      <c r="D278" s="4" t="s">
        <v>20</v>
      </c>
      <c r="E278" s="4">
        <v>17562.57</v>
      </c>
      <c r="F278" s="4">
        <v>3326</v>
      </c>
      <c r="G278" s="4">
        <v>0.153</v>
      </c>
      <c r="H278" s="4">
        <v>14</v>
      </c>
      <c r="I278" s="4">
        <v>88.1</v>
      </c>
      <c r="J278" s="4">
        <v>1.04</v>
      </c>
      <c r="K278" s="4" t="s">
        <v>108</v>
      </c>
      <c r="L278" s="4">
        <v>0</v>
      </c>
      <c r="M278" s="4">
        <v>3.1</v>
      </c>
      <c r="N278" s="4" t="s">
        <v>108</v>
      </c>
      <c r="O278" s="4">
        <v>561597.32999999996</v>
      </c>
      <c r="P278" s="4">
        <v>75072.75</v>
      </c>
    </row>
    <row r="279" spans="1:16" x14ac:dyDescent="0.35">
      <c r="A279" s="4" t="s">
        <v>92</v>
      </c>
      <c r="B279" s="5">
        <v>45717</v>
      </c>
      <c r="C279" s="4" t="s">
        <v>29</v>
      </c>
      <c r="D279" s="4" t="s">
        <v>20</v>
      </c>
      <c r="E279" s="4">
        <v>47648.71</v>
      </c>
      <c r="F279" s="4">
        <v>5767</v>
      </c>
      <c r="G279" s="4">
        <v>0.14099999999999999</v>
      </c>
      <c r="H279" s="4">
        <v>17</v>
      </c>
      <c r="I279" s="4">
        <v>89.8</v>
      </c>
      <c r="J279" s="4">
        <v>1.76</v>
      </c>
      <c r="K279" s="4" t="s">
        <v>108</v>
      </c>
      <c r="L279" s="4">
        <v>0</v>
      </c>
      <c r="M279" s="4">
        <v>3.1</v>
      </c>
      <c r="N279" s="4" t="s">
        <v>108</v>
      </c>
      <c r="O279" s="4">
        <v>635837.74</v>
      </c>
      <c r="P279" s="4">
        <v>114740.64</v>
      </c>
    </row>
    <row r="280" spans="1:16" x14ac:dyDescent="0.35">
      <c r="A280" s="4" t="s">
        <v>92</v>
      </c>
      <c r="B280" s="5">
        <v>45748</v>
      </c>
      <c r="C280" s="4" t="s">
        <v>29</v>
      </c>
      <c r="D280" s="4" t="s">
        <v>20</v>
      </c>
      <c r="E280" s="4">
        <v>38297.58</v>
      </c>
      <c r="F280" s="4">
        <v>5893</v>
      </c>
      <c r="G280" s="4">
        <v>0.247</v>
      </c>
      <c r="H280" s="4">
        <v>18</v>
      </c>
      <c r="I280" s="4">
        <v>77.599999999999994</v>
      </c>
      <c r="J280" s="4">
        <v>2.86</v>
      </c>
      <c r="K280" s="4" t="s">
        <v>108</v>
      </c>
      <c r="L280" s="4">
        <v>0</v>
      </c>
      <c r="M280" s="4">
        <v>3</v>
      </c>
      <c r="N280" s="4" t="s">
        <v>108</v>
      </c>
      <c r="O280" s="4">
        <v>686737.87</v>
      </c>
      <c r="P280" s="4">
        <v>83839.67</v>
      </c>
    </row>
    <row r="281" spans="1:16" x14ac:dyDescent="0.35">
      <c r="A281" s="4" t="s">
        <v>93</v>
      </c>
      <c r="B281" s="5">
        <v>45658</v>
      </c>
      <c r="C281" s="4" t="s">
        <v>26</v>
      </c>
      <c r="D281" s="4" t="s">
        <v>18</v>
      </c>
      <c r="E281" s="4">
        <v>61784.11</v>
      </c>
      <c r="F281" s="4">
        <v>8564</v>
      </c>
      <c r="G281" s="4">
        <v>0.13</v>
      </c>
      <c r="H281" s="4">
        <v>17</v>
      </c>
      <c r="I281" s="4">
        <v>87.4</v>
      </c>
      <c r="J281" s="4">
        <v>18.14</v>
      </c>
      <c r="K281" s="4" t="s">
        <v>108</v>
      </c>
      <c r="L281" s="4">
        <v>1</v>
      </c>
      <c r="M281" s="4">
        <v>3.4</v>
      </c>
      <c r="N281" s="4" t="s">
        <v>108</v>
      </c>
      <c r="O281" s="4">
        <v>673076.34</v>
      </c>
      <c r="P281" s="4">
        <v>93899.76</v>
      </c>
    </row>
    <row r="282" spans="1:16" x14ac:dyDescent="0.35">
      <c r="A282" s="4" t="s">
        <v>93</v>
      </c>
      <c r="B282" s="5">
        <v>45689</v>
      </c>
      <c r="C282" s="4" t="s">
        <v>26</v>
      </c>
      <c r="D282" s="4" t="s">
        <v>18</v>
      </c>
      <c r="E282" s="4">
        <v>36832.33</v>
      </c>
      <c r="F282" s="4">
        <v>8001</v>
      </c>
      <c r="G282" s="4">
        <v>0</v>
      </c>
      <c r="H282" s="4">
        <v>19</v>
      </c>
      <c r="I282" s="4">
        <v>88.7</v>
      </c>
      <c r="J282" s="4">
        <v>3.39</v>
      </c>
      <c r="K282" s="4" t="s">
        <v>108</v>
      </c>
      <c r="L282" s="4">
        <v>0</v>
      </c>
      <c r="M282" s="4">
        <v>4</v>
      </c>
      <c r="N282" s="4" t="s">
        <v>108</v>
      </c>
      <c r="O282" s="4">
        <v>738548.42</v>
      </c>
      <c r="P282" s="4">
        <v>134282.76999999999</v>
      </c>
    </row>
    <row r="283" spans="1:16" x14ac:dyDescent="0.35">
      <c r="A283" s="4" t="s">
        <v>93</v>
      </c>
      <c r="B283" s="5">
        <v>45717</v>
      </c>
      <c r="C283" s="4" t="s">
        <v>26</v>
      </c>
      <c r="D283" s="4" t="s">
        <v>18</v>
      </c>
      <c r="E283" s="4">
        <v>48609.41</v>
      </c>
      <c r="F283" s="4">
        <v>9324</v>
      </c>
      <c r="G283" s="4">
        <v>0.21299999999999999</v>
      </c>
      <c r="H283" s="4">
        <v>18</v>
      </c>
      <c r="I283" s="4">
        <v>86.5</v>
      </c>
      <c r="J283" s="4">
        <v>1.44</v>
      </c>
      <c r="K283" s="4" t="s">
        <v>108</v>
      </c>
      <c r="L283" s="4">
        <v>0</v>
      </c>
      <c r="M283" s="4">
        <v>3.9</v>
      </c>
      <c r="N283" s="4" t="s">
        <v>108</v>
      </c>
      <c r="O283" s="4">
        <v>756619.77</v>
      </c>
      <c r="P283" s="4">
        <v>112057.69</v>
      </c>
    </row>
    <row r="284" spans="1:16" x14ac:dyDescent="0.35">
      <c r="A284" s="4" t="s">
        <v>93</v>
      </c>
      <c r="B284" s="5">
        <v>45748</v>
      </c>
      <c r="C284" s="4" t="s">
        <v>26</v>
      </c>
      <c r="D284" s="4" t="s">
        <v>18</v>
      </c>
      <c r="E284" s="4">
        <v>70284.06</v>
      </c>
      <c r="F284" s="4">
        <v>9109</v>
      </c>
      <c r="G284" s="4">
        <v>4.0000000000000001E-3</v>
      </c>
      <c r="H284" s="4">
        <v>23</v>
      </c>
      <c r="I284" s="4">
        <v>87</v>
      </c>
      <c r="J284" s="4">
        <v>3.65</v>
      </c>
      <c r="K284" s="4" t="s">
        <v>108</v>
      </c>
      <c r="L284" s="4">
        <v>0</v>
      </c>
      <c r="M284" s="4">
        <v>3.7</v>
      </c>
      <c r="N284" s="4" t="s">
        <v>108</v>
      </c>
      <c r="O284" s="4">
        <v>761122.42</v>
      </c>
      <c r="P284" s="4">
        <v>149802.04</v>
      </c>
    </row>
    <row r="285" spans="1:16" x14ac:dyDescent="0.35">
      <c r="A285" s="4" t="s">
        <v>94</v>
      </c>
      <c r="B285" s="5">
        <v>45658</v>
      </c>
      <c r="C285" s="4" t="s">
        <v>26</v>
      </c>
      <c r="D285" s="4" t="s">
        <v>20</v>
      </c>
      <c r="E285" s="4">
        <v>45940.39</v>
      </c>
      <c r="F285" s="4">
        <v>4022</v>
      </c>
      <c r="G285" s="4">
        <v>6.9000000000000006E-2</v>
      </c>
      <c r="H285" s="4">
        <v>10</v>
      </c>
      <c r="I285" s="4">
        <v>83</v>
      </c>
      <c r="J285" s="4">
        <v>1.23</v>
      </c>
      <c r="K285" s="4" t="s">
        <v>108</v>
      </c>
      <c r="L285" s="4">
        <v>1</v>
      </c>
      <c r="M285" s="4">
        <v>3.8</v>
      </c>
      <c r="N285" s="4" t="s">
        <v>108</v>
      </c>
      <c r="O285" s="4">
        <v>524899.56999999995</v>
      </c>
      <c r="P285" s="4">
        <v>63619.98</v>
      </c>
    </row>
    <row r="286" spans="1:16" x14ac:dyDescent="0.35">
      <c r="A286" s="4" t="s">
        <v>94</v>
      </c>
      <c r="B286" s="5">
        <v>45689</v>
      </c>
      <c r="C286" s="4" t="s">
        <v>26</v>
      </c>
      <c r="D286" s="4" t="s">
        <v>20</v>
      </c>
      <c r="E286" s="4">
        <v>34771.26</v>
      </c>
      <c r="F286" s="4">
        <v>4355</v>
      </c>
      <c r="G286" s="4">
        <v>5.0999999999999997E-2</v>
      </c>
      <c r="H286" s="4">
        <v>15</v>
      </c>
      <c r="I286" s="4">
        <v>87.9</v>
      </c>
      <c r="J286" s="4">
        <v>3.09</v>
      </c>
      <c r="K286" s="4" t="s">
        <v>108</v>
      </c>
      <c r="L286" s="4">
        <v>0</v>
      </c>
      <c r="M286" s="4">
        <v>4</v>
      </c>
      <c r="N286" s="4" t="s">
        <v>108</v>
      </c>
      <c r="O286" s="4">
        <v>555557.77</v>
      </c>
      <c r="P286" s="4">
        <v>86475.51</v>
      </c>
    </row>
    <row r="287" spans="1:16" x14ac:dyDescent="0.35">
      <c r="A287" s="4" t="s">
        <v>94</v>
      </c>
      <c r="B287" s="5">
        <v>45717</v>
      </c>
      <c r="C287" s="4" t="s">
        <v>26</v>
      </c>
      <c r="D287" s="4" t="s">
        <v>20</v>
      </c>
      <c r="E287" s="4">
        <v>66104.19</v>
      </c>
      <c r="F287" s="4">
        <v>5745</v>
      </c>
      <c r="G287" s="4">
        <v>7.0000000000000007E-2</v>
      </c>
      <c r="H287" s="4">
        <v>17</v>
      </c>
      <c r="I287" s="4">
        <v>95.8</v>
      </c>
      <c r="J287" s="4">
        <v>3.15</v>
      </c>
      <c r="K287" s="4" t="s">
        <v>108</v>
      </c>
      <c r="L287" s="4">
        <v>0</v>
      </c>
      <c r="M287" s="4">
        <v>4</v>
      </c>
      <c r="N287" s="4" t="s">
        <v>108</v>
      </c>
      <c r="O287" s="4">
        <v>714083.68</v>
      </c>
      <c r="P287" s="4">
        <v>127231.74</v>
      </c>
    </row>
    <row r="288" spans="1:16" x14ac:dyDescent="0.35">
      <c r="A288" s="4" t="s">
        <v>94</v>
      </c>
      <c r="B288" s="5">
        <v>45748</v>
      </c>
      <c r="C288" s="4" t="s">
        <v>26</v>
      </c>
      <c r="D288" s="4" t="s">
        <v>20</v>
      </c>
      <c r="E288" s="4">
        <v>18599.21</v>
      </c>
      <c r="F288" s="4">
        <v>3027</v>
      </c>
      <c r="G288" s="4">
        <v>0.122</v>
      </c>
      <c r="H288" s="4">
        <v>11</v>
      </c>
      <c r="I288" s="4">
        <v>80.900000000000006</v>
      </c>
      <c r="J288" s="4">
        <v>6.44</v>
      </c>
      <c r="K288" s="4" t="s">
        <v>108</v>
      </c>
      <c r="L288" s="4">
        <v>0</v>
      </c>
      <c r="M288" s="4">
        <v>4.2</v>
      </c>
      <c r="N288" s="4" t="s">
        <v>108</v>
      </c>
      <c r="O288" s="4">
        <v>497439.82</v>
      </c>
      <c r="P288" s="4">
        <v>93372.75</v>
      </c>
    </row>
    <row r="289" spans="1:16" x14ac:dyDescent="0.35">
      <c r="A289" s="4" t="s">
        <v>95</v>
      </c>
      <c r="B289" s="5">
        <v>45658</v>
      </c>
      <c r="C289" s="4" t="s">
        <v>29</v>
      </c>
      <c r="D289" s="4" t="s">
        <v>18</v>
      </c>
      <c r="E289" s="4">
        <v>60183.06</v>
      </c>
      <c r="F289" s="4">
        <v>5562</v>
      </c>
      <c r="G289" s="4">
        <v>8.9999999999999993E-3</v>
      </c>
      <c r="H289" s="4">
        <v>13</v>
      </c>
      <c r="I289" s="4">
        <v>86.3</v>
      </c>
      <c r="J289" s="4">
        <v>0.2</v>
      </c>
      <c r="K289" s="4" t="s">
        <v>108</v>
      </c>
      <c r="L289" s="4">
        <v>1</v>
      </c>
      <c r="M289" s="4">
        <v>4.5</v>
      </c>
      <c r="N289" s="4" t="s">
        <v>108</v>
      </c>
      <c r="O289" s="4">
        <v>636775.66</v>
      </c>
      <c r="P289" s="4">
        <v>122636.86</v>
      </c>
    </row>
    <row r="290" spans="1:16" x14ac:dyDescent="0.35">
      <c r="A290" s="4" t="s">
        <v>95</v>
      </c>
      <c r="B290" s="5">
        <v>45689</v>
      </c>
      <c r="C290" s="4" t="s">
        <v>29</v>
      </c>
      <c r="D290" s="4" t="s">
        <v>18</v>
      </c>
      <c r="E290" s="4">
        <v>74539.14</v>
      </c>
      <c r="F290" s="4">
        <v>4487</v>
      </c>
      <c r="G290" s="4">
        <v>0.14000000000000001</v>
      </c>
      <c r="H290" s="4">
        <v>10</v>
      </c>
      <c r="I290" s="4">
        <v>90.4</v>
      </c>
      <c r="J290" s="4">
        <v>0.59</v>
      </c>
      <c r="K290" s="4" t="s">
        <v>108</v>
      </c>
      <c r="L290" s="4">
        <v>0</v>
      </c>
      <c r="M290" s="4">
        <v>4.5</v>
      </c>
      <c r="N290" s="4" t="s">
        <v>108</v>
      </c>
      <c r="O290" s="4">
        <v>633009.53</v>
      </c>
      <c r="P290" s="4">
        <v>123782.67</v>
      </c>
    </row>
    <row r="291" spans="1:16" x14ac:dyDescent="0.35">
      <c r="A291" s="4" t="s">
        <v>95</v>
      </c>
      <c r="B291" s="5">
        <v>45717</v>
      </c>
      <c r="C291" s="4" t="s">
        <v>29</v>
      </c>
      <c r="D291" s="4" t="s">
        <v>18</v>
      </c>
      <c r="E291" s="4">
        <v>55371.97</v>
      </c>
      <c r="F291" s="4">
        <v>4162</v>
      </c>
      <c r="G291" s="4">
        <v>0.183</v>
      </c>
      <c r="H291" s="4">
        <v>11</v>
      </c>
      <c r="I291" s="4">
        <v>92</v>
      </c>
      <c r="J291" s="4">
        <v>0.2</v>
      </c>
      <c r="K291" s="4" t="s">
        <v>108</v>
      </c>
      <c r="L291" s="4">
        <v>1</v>
      </c>
      <c r="M291" s="4">
        <v>4.2</v>
      </c>
      <c r="N291" s="4" t="s">
        <v>108</v>
      </c>
      <c r="O291" s="4">
        <v>609949</v>
      </c>
      <c r="P291" s="4">
        <v>126789.25</v>
      </c>
    </row>
    <row r="292" spans="1:16" x14ac:dyDescent="0.35">
      <c r="A292" s="4" t="s">
        <v>95</v>
      </c>
      <c r="B292" s="5">
        <v>45748</v>
      </c>
      <c r="C292" s="4" t="s">
        <v>29</v>
      </c>
      <c r="D292" s="4" t="s">
        <v>18</v>
      </c>
      <c r="E292" s="4">
        <v>40928.69</v>
      </c>
      <c r="F292" s="4">
        <v>4094</v>
      </c>
      <c r="G292" s="4">
        <v>0.17399999999999999</v>
      </c>
      <c r="H292" s="4">
        <v>13</v>
      </c>
      <c r="I292" s="4">
        <v>82.4</v>
      </c>
      <c r="J292" s="4">
        <v>1.36</v>
      </c>
      <c r="K292" s="4" t="s">
        <v>108</v>
      </c>
      <c r="L292" s="4">
        <v>0</v>
      </c>
      <c r="M292" s="4">
        <v>4.8</v>
      </c>
      <c r="N292" s="4" t="s">
        <v>108</v>
      </c>
      <c r="O292" s="4">
        <v>548103.69999999995</v>
      </c>
      <c r="P292" s="4">
        <v>99905.52</v>
      </c>
    </row>
    <row r="293" spans="1:16" x14ac:dyDescent="0.35">
      <c r="A293" s="4" t="s">
        <v>96</v>
      </c>
      <c r="B293" s="5">
        <v>45658</v>
      </c>
      <c r="C293" s="4" t="s">
        <v>17</v>
      </c>
      <c r="D293" s="4" t="s">
        <v>18</v>
      </c>
      <c r="E293" s="4">
        <v>70012.41</v>
      </c>
      <c r="F293" s="4">
        <v>8484</v>
      </c>
      <c r="G293" s="4">
        <v>0.27300000000000002</v>
      </c>
      <c r="H293" s="4">
        <v>23</v>
      </c>
      <c r="I293" s="4">
        <v>72.900000000000006</v>
      </c>
      <c r="J293" s="4">
        <v>3.34</v>
      </c>
      <c r="K293" s="4" t="s">
        <v>108</v>
      </c>
      <c r="L293" s="4">
        <v>0</v>
      </c>
      <c r="M293" s="4">
        <v>3.7</v>
      </c>
      <c r="N293" s="4" t="s">
        <v>108</v>
      </c>
      <c r="O293" s="4">
        <v>729424.42</v>
      </c>
      <c r="P293" s="4">
        <v>75592.28</v>
      </c>
    </row>
    <row r="294" spans="1:16" x14ac:dyDescent="0.35">
      <c r="A294" s="4" t="s">
        <v>96</v>
      </c>
      <c r="B294" s="5">
        <v>45689</v>
      </c>
      <c r="C294" s="4" t="s">
        <v>17</v>
      </c>
      <c r="D294" s="4" t="s">
        <v>18</v>
      </c>
      <c r="E294" s="4">
        <v>68909.259999999995</v>
      </c>
      <c r="F294" s="4">
        <v>7794</v>
      </c>
      <c r="G294" s="4">
        <v>0.28399999999999997</v>
      </c>
      <c r="H294" s="4">
        <v>22</v>
      </c>
      <c r="I294" s="4">
        <v>89</v>
      </c>
      <c r="J294" s="4">
        <v>0.33</v>
      </c>
      <c r="K294" s="4" t="s">
        <v>108</v>
      </c>
      <c r="L294" s="4">
        <v>0</v>
      </c>
      <c r="M294" s="4">
        <v>4</v>
      </c>
      <c r="N294" s="4" t="s">
        <v>108</v>
      </c>
      <c r="O294" s="4">
        <v>696261.49</v>
      </c>
      <c r="P294" s="4">
        <v>72455.350000000006</v>
      </c>
    </row>
    <row r="295" spans="1:16" x14ac:dyDescent="0.35">
      <c r="A295" s="4" t="s">
        <v>96</v>
      </c>
      <c r="B295" s="5">
        <v>45717</v>
      </c>
      <c r="C295" s="4" t="s">
        <v>17</v>
      </c>
      <c r="D295" s="4" t="s">
        <v>18</v>
      </c>
      <c r="E295" s="4">
        <v>56737.3</v>
      </c>
      <c r="F295" s="4">
        <v>8300</v>
      </c>
      <c r="G295" s="4">
        <v>3.2000000000000001E-2</v>
      </c>
      <c r="H295" s="4">
        <v>21</v>
      </c>
      <c r="I295" s="4">
        <v>83.2</v>
      </c>
      <c r="J295" s="4">
        <v>3.44</v>
      </c>
      <c r="K295" s="4" t="s">
        <v>108</v>
      </c>
      <c r="L295" s="4">
        <v>1</v>
      </c>
      <c r="M295" s="4">
        <v>4.3</v>
      </c>
      <c r="N295" s="4" t="s">
        <v>108</v>
      </c>
      <c r="O295" s="4">
        <v>813316.71</v>
      </c>
      <c r="P295" s="4">
        <v>110077.42</v>
      </c>
    </row>
    <row r="296" spans="1:16" x14ac:dyDescent="0.35">
      <c r="A296" s="4" t="s">
        <v>96</v>
      </c>
      <c r="B296" s="5">
        <v>45748</v>
      </c>
      <c r="C296" s="4" t="s">
        <v>17</v>
      </c>
      <c r="D296" s="4" t="s">
        <v>18</v>
      </c>
      <c r="E296" s="4">
        <v>54080.91</v>
      </c>
      <c r="F296" s="4">
        <v>7083</v>
      </c>
      <c r="G296" s="4">
        <v>0</v>
      </c>
      <c r="H296" s="4">
        <v>15</v>
      </c>
      <c r="I296" s="4">
        <v>97</v>
      </c>
      <c r="J296" s="4">
        <v>5.33</v>
      </c>
      <c r="K296" s="4" t="s">
        <v>108</v>
      </c>
      <c r="L296" s="4">
        <v>0</v>
      </c>
      <c r="M296" s="4">
        <v>4.0999999999999996</v>
      </c>
      <c r="N296" s="4" t="s">
        <v>108</v>
      </c>
      <c r="O296" s="4">
        <v>702068.92</v>
      </c>
      <c r="P296" s="4">
        <v>111266.63</v>
      </c>
    </row>
    <row r="297" spans="1:16" x14ac:dyDescent="0.35">
      <c r="A297" s="4" t="s">
        <v>97</v>
      </c>
      <c r="B297" s="5">
        <v>45658</v>
      </c>
      <c r="C297" s="4" t="s">
        <v>29</v>
      </c>
      <c r="D297" s="4" t="s">
        <v>20</v>
      </c>
      <c r="E297" s="4">
        <v>51996.32</v>
      </c>
      <c r="F297" s="4">
        <v>3834</v>
      </c>
      <c r="G297" s="4">
        <v>9.6000000000000002E-2</v>
      </c>
      <c r="H297" s="4">
        <v>8</v>
      </c>
      <c r="I297" s="4">
        <v>86.7</v>
      </c>
      <c r="J297" s="4">
        <v>6.04</v>
      </c>
      <c r="K297" s="4" t="s">
        <v>108</v>
      </c>
      <c r="L297" s="4">
        <v>0</v>
      </c>
      <c r="M297" s="4">
        <v>4.5</v>
      </c>
      <c r="N297" s="4" t="s">
        <v>108</v>
      </c>
      <c r="O297" s="4">
        <v>546223.69999999995</v>
      </c>
      <c r="P297" s="4">
        <v>100769.17</v>
      </c>
    </row>
    <row r="298" spans="1:16" x14ac:dyDescent="0.35">
      <c r="A298" s="4" t="s">
        <v>97</v>
      </c>
      <c r="B298" s="5">
        <v>45689</v>
      </c>
      <c r="C298" s="4" t="s">
        <v>29</v>
      </c>
      <c r="D298" s="4" t="s">
        <v>20</v>
      </c>
      <c r="E298" s="4">
        <v>40102.879999999997</v>
      </c>
      <c r="F298" s="4">
        <v>2358</v>
      </c>
      <c r="G298" s="4">
        <v>0.11899999999999999</v>
      </c>
      <c r="H298" s="4">
        <v>9</v>
      </c>
      <c r="I298" s="4">
        <v>88.7</v>
      </c>
      <c r="J298" s="4">
        <v>1.6</v>
      </c>
      <c r="K298" s="4" t="s">
        <v>108</v>
      </c>
      <c r="L298" s="4">
        <v>0</v>
      </c>
      <c r="M298" s="4">
        <v>4.2</v>
      </c>
      <c r="N298" s="4" t="s">
        <v>108</v>
      </c>
      <c r="O298" s="4">
        <v>533121.26</v>
      </c>
      <c r="P298" s="4">
        <v>55063.39</v>
      </c>
    </row>
    <row r="299" spans="1:16" x14ac:dyDescent="0.35">
      <c r="A299" s="4" t="s">
        <v>97</v>
      </c>
      <c r="B299" s="5">
        <v>45717</v>
      </c>
      <c r="C299" s="4" t="s">
        <v>29</v>
      </c>
      <c r="D299" s="4" t="s">
        <v>20</v>
      </c>
      <c r="E299" s="4">
        <v>59825.51</v>
      </c>
      <c r="F299" s="4">
        <v>1231</v>
      </c>
      <c r="G299" s="4">
        <v>0.214</v>
      </c>
      <c r="H299" s="4">
        <v>10</v>
      </c>
      <c r="I299" s="4">
        <v>84.8</v>
      </c>
      <c r="J299" s="4">
        <v>8.9600000000000009</v>
      </c>
      <c r="K299" s="4" t="s">
        <v>108</v>
      </c>
      <c r="L299" s="4">
        <v>0</v>
      </c>
      <c r="M299" s="4">
        <v>4.7</v>
      </c>
      <c r="N299" s="4" t="s">
        <v>108</v>
      </c>
      <c r="O299" s="4">
        <v>498970.32</v>
      </c>
      <c r="P299" s="4">
        <v>69656.7</v>
      </c>
    </row>
    <row r="300" spans="1:16" x14ac:dyDescent="0.35">
      <c r="A300" s="4" t="s">
        <v>97</v>
      </c>
      <c r="B300" s="5">
        <v>45748</v>
      </c>
      <c r="C300" s="4" t="s">
        <v>29</v>
      </c>
      <c r="D300" s="4" t="s">
        <v>20</v>
      </c>
      <c r="E300" s="4">
        <v>27398.28</v>
      </c>
      <c r="F300" s="4">
        <v>1723</v>
      </c>
      <c r="G300" s="4">
        <v>0.17100000000000001</v>
      </c>
      <c r="H300" s="4">
        <v>9</v>
      </c>
      <c r="I300" s="4">
        <v>81</v>
      </c>
      <c r="J300" s="4">
        <v>0.74</v>
      </c>
      <c r="K300" s="4" t="s">
        <v>108</v>
      </c>
      <c r="L300" s="4">
        <v>0</v>
      </c>
      <c r="M300" s="4">
        <v>4.5999999999999996</v>
      </c>
      <c r="N300" s="4" t="s">
        <v>108</v>
      </c>
      <c r="O300" s="4">
        <v>487738.26</v>
      </c>
      <c r="P300" s="4">
        <v>96435.6</v>
      </c>
    </row>
    <row r="301" spans="1:16" x14ac:dyDescent="0.35">
      <c r="A301" s="4" t="s">
        <v>98</v>
      </c>
      <c r="B301" s="5">
        <v>45658</v>
      </c>
      <c r="C301" s="4" t="s">
        <v>29</v>
      </c>
      <c r="D301" s="4" t="s">
        <v>20</v>
      </c>
      <c r="E301" s="4">
        <v>55599.56</v>
      </c>
      <c r="F301" s="4">
        <v>5896</v>
      </c>
      <c r="G301" s="4">
        <v>3.5999999999999997E-2</v>
      </c>
      <c r="H301" s="4">
        <v>12</v>
      </c>
      <c r="I301" s="4">
        <v>93.1</v>
      </c>
      <c r="J301" s="4">
        <v>6.13</v>
      </c>
      <c r="K301" s="4" t="s">
        <v>108</v>
      </c>
      <c r="L301" s="4">
        <v>0</v>
      </c>
      <c r="M301" s="4">
        <v>3.3</v>
      </c>
      <c r="N301" s="4" t="s">
        <v>108</v>
      </c>
      <c r="O301" s="4">
        <v>668459.37</v>
      </c>
      <c r="P301" s="4">
        <v>126435.42</v>
      </c>
    </row>
    <row r="302" spans="1:16" x14ac:dyDescent="0.35">
      <c r="A302" s="4" t="s">
        <v>98</v>
      </c>
      <c r="B302" s="5">
        <v>45689</v>
      </c>
      <c r="C302" s="4" t="s">
        <v>29</v>
      </c>
      <c r="D302" s="4" t="s">
        <v>20</v>
      </c>
      <c r="E302" s="4">
        <v>55477.61</v>
      </c>
      <c r="F302" s="4">
        <v>5903</v>
      </c>
      <c r="G302" s="4">
        <v>0.10199999999999999</v>
      </c>
      <c r="H302" s="4">
        <v>14</v>
      </c>
      <c r="I302" s="4">
        <v>96.2</v>
      </c>
      <c r="J302" s="4">
        <v>1.41</v>
      </c>
      <c r="K302" s="4" t="s">
        <v>108</v>
      </c>
      <c r="L302" s="4">
        <v>0</v>
      </c>
      <c r="M302" s="4">
        <v>3.3</v>
      </c>
      <c r="N302" s="4" t="s">
        <v>108</v>
      </c>
      <c r="O302" s="4">
        <v>763162.45</v>
      </c>
      <c r="P302" s="4">
        <v>162524.04999999999</v>
      </c>
    </row>
    <row r="303" spans="1:16" x14ac:dyDescent="0.35">
      <c r="A303" s="4" t="s">
        <v>98</v>
      </c>
      <c r="B303" s="5">
        <v>45717</v>
      </c>
      <c r="C303" s="4" t="s">
        <v>29</v>
      </c>
      <c r="D303" s="4" t="s">
        <v>20</v>
      </c>
      <c r="E303" s="4">
        <v>46174.7</v>
      </c>
      <c r="F303" s="4">
        <v>4898</v>
      </c>
      <c r="G303" s="4">
        <v>0.114</v>
      </c>
      <c r="H303" s="4">
        <v>11</v>
      </c>
      <c r="I303" s="4">
        <v>91.7</v>
      </c>
      <c r="J303" s="4">
        <v>3.75</v>
      </c>
      <c r="K303" s="4" t="s">
        <v>108</v>
      </c>
      <c r="L303" s="4">
        <v>0</v>
      </c>
      <c r="M303" s="4">
        <v>3.1</v>
      </c>
      <c r="N303" s="4" t="s">
        <v>108</v>
      </c>
      <c r="O303" s="4">
        <v>599017.32999999996</v>
      </c>
      <c r="P303" s="4">
        <v>134009.92000000001</v>
      </c>
    </row>
    <row r="304" spans="1:16" x14ac:dyDescent="0.35">
      <c r="A304" s="4" t="s">
        <v>98</v>
      </c>
      <c r="B304" s="5">
        <v>45748</v>
      </c>
      <c r="C304" s="4" t="s">
        <v>29</v>
      </c>
      <c r="D304" s="4" t="s">
        <v>20</v>
      </c>
      <c r="E304" s="4">
        <v>24362.98</v>
      </c>
      <c r="F304" s="4">
        <v>1462</v>
      </c>
      <c r="G304" s="4">
        <v>0.11700000000000001</v>
      </c>
      <c r="H304" s="4">
        <v>6</v>
      </c>
      <c r="I304" s="4">
        <v>89.3</v>
      </c>
      <c r="J304" s="4">
        <v>15.06</v>
      </c>
      <c r="K304" s="4" t="s">
        <v>108</v>
      </c>
      <c r="L304" s="4">
        <v>0</v>
      </c>
      <c r="M304" s="4">
        <v>3.2</v>
      </c>
      <c r="N304" s="4" t="s">
        <v>108</v>
      </c>
      <c r="O304" s="4">
        <v>401582.58</v>
      </c>
      <c r="P304" s="4">
        <v>68454.929999999993</v>
      </c>
    </row>
    <row r="305" spans="1:16" x14ac:dyDescent="0.35">
      <c r="A305" s="4" t="s">
        <v>99</v>
      </c>
      <c r="B305" s="5">
        <v>45658</v>
      </c>
      <c r="C305" s="4" t="s">
        <v>22</v>
      </c>
      <c r="D305" s="4" t="s">
        <v>30</v>
      </c>
      <c r="E305" s="4">
        <v>40647.67</v>
      </c>
      <c r="F305" s="4">
        <v>8252</v>
      </c>
      <c r="G305" s="4">
        <v>0.14099999999999999</v>
      </c>
      <c r="H305" s="4">
        <v>22</v>
      </c>
      <c r="I305" s="4">
        <v>88.2</v>
      </c>
      <c r="J305" s="4">
        <v>5.07</v>
      </c>
      <c r="K305" s="4" t="s">
        <v>108</v>
      </c>
      <c r="L305" s="4">
        <v>1</v>
      </c>
      <c r="M305" s="4">
        <v>4.0999999999999996</v>
      </c>
      <c r="N305" s="4" t="s">
        <v>108</v>
      </c>
      <c r="O305" s="4">
        <v>703812.99</v>
      </c>
      <c r="P305" s="4">
        <v>133577.98000000001</v>
      </c>
    </row>
    <row r="306" spans="1:16" x14ac:dyDescent="0.35">
      <c r="A306" s="4" t="s">
        <v>99</v>
      </c>
      <c r="B306" s="5">
        <v>45689</v>
      </c>
      <c r="C306" s="4" t="s">
        <v>22</v>
      </c>
      <c r="D306" s="4" t="s">
        <v>30</v>
      </c>
      <c r="E306" s="4">
        <v>63986.98</v>
      </c>
      <c r="F306" s="4">
        <v>7989</v>
      </c>
      <c r="G306" s="4">
        <v>7.3999999999999996E-2</v>
      </c>
      <c r="H306" s="4">
        <v>20</v>
      </c>
      <c r="I306" s="4">
        <v>83.3</v>
      </c>
      <c r="J306" s="4">
        <v>3.6</v>
      </c>
      <c r="K306" s="4" t="s">
        <v>108</v>
      </c>
      <c r="L306" s="4">
        <v>0</v>
      </c>
      <c r="M306" s="4">
        <v>3.7</v>
      </c>
      <c r="N306" s="4" t="s">
        <v>108</v>
      </c>
      <c r="O306" s="4">
        <v>724346.73</v>
      </c>
      <c r="P306" s="4">
        <v>155013.91</v>
      </c>
    </row>
    <row r="307" spans="1:16" x14ac:dyDescent="0.35">
      <c r="A307" s="4" t="s">
        <v>99</v>
      </c>
      <c r="B307" s="5">
        <v>45717</v>
      </c>
      <c r="C307" s="4" t="s">
        <v>22</v>
      </c>
      <c r="D307" s="4" t="s">
        <v>30</v>
      </c>
      <c r="E307" s="4">
        <v>52843.75</v>
      </c>
      <c r="F307" s="4">
        <v>8268</v>
      </c>
      <c r="G307" s="4">
        <v>0.13800000000000001</v>
      </c>
      <c r="H307" s="4">
        <v>19</v>
      </c>
      <c r="I307" s="4">
        <v>87.3</v>
      </c>
      <c r="J307" s="4">
        <v>4.3899999999999997</v>
      </c>
      <c r="K307" s="4" t="s">
        <v>108</v>
      </c>
      <c r="L307" s="4">
        <v>1</v>
      </c>
      <c r="M307" s="4">
        <v>4.7</v>
      </c>
      <c r="N307" s="4" t="s">
        <v>108</v>
      </c>
      <c r="O307" s="4">
        <v>730890.01</v>
      </c>
      <c r="P307" s="4">
        <v>105502.56</v>
      </c>
    </row>
    <row r="308" spans="1:16" x14ac:dyDescent="0.35">
      <c r="A308" s="4" t="s">
        <v>99</v>
      </c>
      <c r="B308" s="5">
        <v>45748</v>
      </c>
      <c r="C308" s="4" t="s">
        <v>22</v>
      </c>
      <c r="D308" s="4" t="s">
        <v>30</v>
      </c>
      <c r="E308" s="4">
        <v>31997.25</v>
      </c>
      <c r="F308" s="4">
        <v>8183</v>
      </c>
      <c r="G308" s="4">
        <v>0.19800000000000001</v>
      </c>
      <c r="H308" s="4">
        <v>18</v>
      </c>
      <c r="I308" s="4">
        <v>93</v>
      </c>
      <c r="J308" s="4">
        <v>2.79</v>
      </c>
      <c r="K308" s="4" t="s">
        <v>108</v>
      </c>
      <c r="L308" s="4">
        <v>0</v>
      </c>
      <c r="M308" s="4">
        <v>4.2</v>
      </c>
      <c r="N308" s="4" t="s">
        <v>108</v>
      </c>
      <c r="O308" s="4">
        <v>780580.95</v>
      </c>
      <c r="P308" s="4">
        <v>138144.46</v>
      </c>
    </row>
    <row r="309" spans="1:16" x14ac:dyDescent="0.35">
      <c r="A309" s="4" t="s">
        <v>100</v>
      </c>
      <c r="B309" s="5">
        <v>45658</v>
      </c>
      <c r="C309" s="4" t="s">
        <v>26</v>
      </c>
      <c r="D309" s="4" t="s">
        <v>18</v>
      </c>
      <c r="E309" s="4">
        <v>54948.02</v>
      </c>
      <c r="F309" s="4">
        <v>6534</v>
      </c>
      <c r="G309" s="4">
        <v>0.183</v>
      </c>
      <c r="H309" s="4">
        <v>14</v>
      </c>
      <c r="I309" s="4">
        <v>94.5</v>
      </c>
      <c r="J309" s="4">
        <v>1.56</v>
      </c>
      <c r="K309" s="4" t="s">
        <v>108</v>
      </c>
      <c r="L309" s="4">
        <v>0</v>
      </c>
      <c r="M309" s="4">
        <v>4</v>
      </c>
      <c r="N309" s="4" t="s">
        <v>108</v>
      </c>
      <c r="O309" s="4">
        <v>727957.48</v>
      </c>
      <c r="P309" s="4">
        <v>74805.23</v>
      </c>
    </row>
    <row r="310" spans="1:16" x14ac:dyDescent="0.35">
      <c r="A310" s="4" t="s">
        <v>100</v>
      </c>
      <c r="B310" s="5">
        <v>45689</v>
      </c>
      <c r="C310" s="4" t="s">
        <v>26</v>
      </c>
      <c r="D310" s="4" t="s">
        <v>18</v>
      </c>
      <c r="E310" s="4">
        <v>46146.239999999998</v>
      </c>
      <c r="F310" s="4">
        <v>5804</v>
      </c>
      <c r="G310" s="4">
        <v>4.7E-2</v>
      </c>
      <c r="H310" s="4">
        <v>16</v>
      </c>
      <c r="I310" s="4">
        <v>86.9</v>
      </c>
      <c r="J310" s="4">
        <v>15.82</v>
      </c>
      <c r="K310" s="4" t="s">
        <v>108</v>
      </c>
      <c r="L310" s="4">
        <v>0</v>
      </c>
      <c r="M310" s="4">
        <v>3.8</v>
      </c>
      <c r="N310" s="4" t="s">
        <v>108</v>
      </c>
      <c r="O310" s="4">
        <v>538376</v>
      </c>
      <c r="P310" s="4">
        <v>87605.62</v>
      </c>
    </row>
    <row r="311" spans="1:16" x14ac:dyDescent="0.35">
      <c r="A311" s="4" t="s">
        <v>100</v>
      </c>
      <c r="B311" s="5">
        <v>45717</v>
      </c>
      <c r="C311" s="4" t="s">
        <v>26</v>
      </c>
      <c r="D311" s="4" t="s">
        <v>18</v>
      </c>
      <c r="E311" s="4">
        <v>22387.26</v>
      </c>
      <c r="F311" s="4">
        <v>6301</v>
      </c>
      <c r="G311" s="4">
        <v>0.14599999999999999</v>
      </c>
      <c r="H311" s="4">
        <v>14</v>
      </c>
      <c r="I311" s="4">
        <v>85.9</v>
      </c>
      <c r="J311" s="4">
        <v>1.17</v>
      </c>
      <c r="K311" s="4" t="s">
        <v>108</v>
      </c>
      <c r="L311" s="4">
        <v>1</v>
      </c>
      <c r="M311" s="4">
        <v>3.7</v>
      </c>
      <c r="N311" s="4" t="s">
        <v>108</v>
      </c>
      <c r="O311" s="4">
        <v>665342.49</v>
      </c>
      <c r="P311" s="4">
        <v>93441.81</v>
      </c>
    </row>
    <row r="312" spans="1:16" x14ac:dyDescent="0.35">
      <c r="A312" s="4" t="s">
        <v>100</v>
      </c>
      <c r="B312" s="5">
        <v>45748</v>
      </c>
      <c r="C312" s="4" t="s">
        <v>26</v>
      </c>
      <c r="D312" s="4" t="s">
        <v>18</v>
      </c>
      <c r="E312" s="4">
        <v>60684.05</v>
      </c>
      <c r="F312" s="4">
        <v>6399</v>
      </c>
      <c r="G312" s="4">
        <v>7.4999999999999997E-2</v>
      </c>
      <c r="H312" s="4">
        <v>16</v>
      </c>
      <c r="I312" s="4">
        <v>99</v>
      </c>
      <c r="J312" s="4">
        <v>3.82</v>
      </c>
      <c r="K312" s="4" t="s">
        <v>108</v>
      </c>
      <c r="L312" s="4">
        <v>0</v>
      </c>
      <c r="M312" s="4">
        <v>3.5</v>
      </c>
      <c r="N312" s="4" t="s">
        <v>108</v>
      </c>
      <c r="O312" s="4">
        <v>651164.18000000005</v>
      </c>
      <c r="P312" s="4">
        <v>109466.5</v>
      </c>
    </row>
    <row r="313" spans="1:16" x14ac:dyDescent="0.35">
      <c r="A313" s="4" t="s">
        <v>101</v>
      </c>
      <c r="B313" s="5">
        <v>45658</v>
      </c>
      <c r="C313" s="4" t="s">
        <v>26</v>
      </c>
      <c r="D313" s="4" t="s">
        <v>20</v>
      </c>
      <c r="E313" s="4">
        <v>48465.599999999999</v>
      </c>
      <c r="F313" s="4">
        <v>5759</v>
      </c>
      <c r="G313" s="4">
        <v>0.154</v>
      </c>
      <c r="H313" s="4">
        <v>13</v>
      </c>
      <c r="I313" s="4">
        <v>87.5</v>
      </c>
      <c r="J313" s="4">
        <v>4.1399999999999997</v>
      </c>
      <c r="K313" s="4" t="s">
        <v>108</v>
      </c>
      <c r="L313" s="4">
        <v>0</v>
      </c>
      <c r="M313" s="4">
        <v>4</v>
      </c>
      <c r="N313" s="4" t="s">
        <v>108</v>
      </c>
      <c r="O313" s="4">
        <v>628538.30000000005</v>
      </c>
      <c r="P313" s="4">
        <v>112509.15</v>
      </c>
    </row>
    <row r="314" spans="1:16" x14ac:dyDescent="0.35">
      <c r="A314" s="4" t="s">
        <v>101</v>
      </c>
      <c r="B314" s="5">
        <v>45689</v>
      </c>
      <c r="C314" s="4" t="s">
        <v>26</v>
      </c>
      <c r="D314" s="4" t="s">
        <v>20</v>
      </c>
      <c r="E314" s="4">
        <v>23702.38</v>
      </c>
      <c r="F314" s="4">
        <v>5285</v>
      </c>
      <c r="G314" s="4">
        <v>0.16700000000000001</v>
      </c>
      <c r="H314" s="4">
        <v>14</v>
      </c>
      <c r="I314" s="4">
        <v>79.7</v>
      </c>
      <c r="J314" s="4">
        <v>1.1000000000000001</v>
      </c>
      <c r="K314" s="4" t="s">
        <v>108</v>
      </c>
      <c r="L314" s="4">
        <v>0</v>
      </c>
      <c r="M314" s="4">
        <v>4.3</v>
      </c>
      <c r="N314" s="4" t="s">
        <v>108</v>
      </c>
      <c r="O314" s="4">
        <v>536524.84</v>
      </c>
      <c r="P314" s="4">
        <v>92752.94</v>
      </c>
    </row>
    <row r="315" spans="1:16" x14ac:dyDescent="0.35">
      <c r="A315" s="4" t="s">
        <v>101</v>
      </c>
      <c r="B315" s="5">
        <v>45717</v>
      </c>
      <c r="C315" s="4" t="s">
        <v>26</v>
      </c>
      <c r="D315" s="4" t="s">
        <v>20</v>
      </c>
      <c r="E315" s="4">
        <v>54322.94</v>
      </c>
      <c r="F315" s="4">
        <v>5434</v>
      </c>
      <c r="G315" s="4">
        <v>0.2</v>
      </c>
      <c r="H315" s="4">
        <v>13</v>
      </c>
      <c r="I315" s="4">
        <v>85.7</v>
      </c>
      <c r="J315" s="4">
        <v>10.6</v>
      </c>
      <c r="K315" s="4" t="s">
        <v>108</v>
      </c>
      <c r="L315" s="4">
        <v>0</v>
      </c>
      <c r="M315" s="4">
        <v>4.2</v>
      </c>
      <c r="N315" s="4" t="s">
        <v>108</v>
      </c>
      <c r="O315" s="4">
        <v>621677.30000000005</v>
      </c>
      <c r="P315" s="4">
        <v>105192.52</v>
      </c>
    </row>
    <row r="316" spans="1:16" x14ac:dyDescent="0.35">
      <c r="A316" s="4" t="s">
        <v>101</v>
      </c>
      <c r="B316" s="5">
        <v>45748</v>
      </c>
      <c r="C316" s="4" t="s">
        <v>26</v>
      </c>
      <c r="D316" s="4" t="s">
        <v>20</v>
      </c>
      <c r="E316" s="4">
        <v>86026.58</v>
      </c>
      <c r="F316" s="4">
        <v>7479</v>
      </c>
      <c r="G316" s="4">
        <v>0.14199999999999999</v>
      </c>
      <c r="H316" s="4">
        <v>20</v>
      </c>
      <c r="I316" s="4">
        <v>89</v>
      </c>
      <c r="J316" s="4">
        <v>0.9</v>
      </c>
      <c r="K316" s="4" t="s">
        <v>108</v>
      </c>
      <c r="L316" s="4">
        <v>0</v>
      </c>
      <c r="M316" s="4">
        <v>3.9</v>
      </c>
      <c r="N316" s="4" t="s">
        <v>109</v>
      </c>
      <c r="O316" s="4">
        <v>771129.07</v>
      </c>
      <c r="P316" s="4">
        <v>116851.13</v>
      </c>
    </row>
    <row r="317" spans="1:16" x14ac:dyDescent="0.35">
      <c r="A317" s="4" t="s">
        <v>102</v>
      </c>
      <c r="B317" s="5">
        <v>45658</v>
      </c>
      <c r="C317" s="4" t="s">
        <v>22</v>
      </c>
      <c r="D317" s="4" t="s">
        <v>18</v>
      </c>
      <c r="E317" s="4">
        <v>78967.520000000004</v>
      </c>
      <c r="F317" s="4">
        <v>6164</v>
      </c>
      <c r="G317" s="4">
        <v>2.1000000000000001E-2</v>
      </c>
      <c r="H317" s="4">
        <v>16</v>
      </c>
      <c r="I317" s="4">
        <v>85.5</v>
      </c>
      <c r="J317" s="4">
        <v>0.2</v>
      </c>
      <c r="K317" s="4" t="s">
        <v>108</v>
      </c>
      <c r="L317" s="4">
        <v>0</v>
      </c>
      <c r="M317" s="4">
        <v>3.4</v>
      </c>
      <c r="N317" s="4" t="s">
        <v>108</v>
      </c>
      <c r="O317" s="4">
        <v>702052.47</v>
      </c>
      <c r="P317" s="4">
        <v>121732.51</v>
      </c>
    </row>
    <row r="318" spans="1:16" x14ac:dyDescent="0.35">
      <c r="A318" s="4" t="s">
        <v>102</v>
      </c>
      <c r="B318" s="5">
        <v>45689</v>
      </c>
      <c r="C318" s="4" t="s">
        <v>22</v>
      </c>
      <c r="D318" s="4" t="s">
        <v>18</v>
      </c>
      <c r="E318" s="4">
        <v>46767.99</v>
      </c>
      <c r="F318" s="4">
        <v>7973</v>
      </c>
      <c r="G318" s="4">
        <v>0.183</v>
      </c>
      <c r="H318" s="4">
        <v>18</v>
      </c>
      <c r="I318" s="4">
        <v>94.8</v>
      </c>
      <c r="J318" s="4">
        <v>4.67</v>
      </c>
      <c r="K318" s="4" t="s">
        <v>108</v>
      </c>
      <c r="L318" s="4">
        <v>0</v>
      </c>
      <c r="M318" s="4">
        <v>3.9</v>
      </c>
      <c r="N318" s="4" t="s">
        <v>109</v>
      </c>
      <c r="O318" s="4">
        <v>688368.46</v>
      </c>
      <c r="P318" s="4">
        <v>93588.42</v>
      </c>
    </row>
    <row r="319" spans="1:16" x14ac:dyDescent="0.35">
      <c r="A319" s="4" t="s">
        <v>102</v>
      </c>
      <c r="B319" s="5">
        <v>45717</v>
      </c>
      <c r="C319" s="4" t="s">
        <v>22</v>
      </c>
      <c r="D319" s="4" t="s">
        <v>18</v>
      </c>
      <c r="E319" s="4">
        <v>62507.16</v>
      </c>
      <c r="F319" s="4">
        <v>6000</v>
      </c>
      <c r="G319" s="4">
        <v>9.0999999999999998E-2</v>
      </c>
      <c r="H319" s="4">
        <v>14</v>
      </c>
      <c r="I319" s="4">
        <v>98.2</v>
      </c>
      <c r="J319" s="4">
        <v>4.38</v>
      </c>
      <c r="K319" s="4" t="s">
        <v>108</v>
      </c>
      <c r="L319" s="4">
        <v>1</v>
      </c>
      <c r="M319" s="4">
        <v>3.9</v>
      </c>
      <c r="N319" s="4" t="s">
        <v>108</v>
      </c>
      <c r="O319" s="4">
        <v>712375.77</v>
      </c>
      <c r="P319" s="4">
        <v>104171.53</v>
      </c>
    </row>
    <row r="320" spans="1:16" x14ac:dyDescent="0.35">
      <c r="A320" s="4" t="s">
        <v>102</v>
      </c>
      <c r="B320" s="5">
        <v>45748</v>
      </c>
      <c r="C320" s="4" t="s">
        <v>22</v>
      </c>
      <c r="D320" s="4" t="s">
        <v>18</v>
      </c>
      <c r="E320" s="4">
        <v>66456.28</v>
      </c>
      <c r="F320" s="4">
        <v>9967</v>
      </c>
      <c r="G320" s="4">
        <v>0.108</v>
      </c>
      <c r="H320" s="4">
        <v>20</v>
      </c>
      <c r="I320" s="4">
        <v>94.7</v>
      </c>
      <c r="J320" s="4">
        <v>4.4800000000000004</v>
      </c>
      <c r="K320" s="4" t="s">
        <v>108</v>
      </c>
      <c r="L320" s="4">
        <v>0</v>
      </c>
      <c r="M320" s="4">
        <v>4.2</v>
      </c>
      <c r="N320" s="4" t="s">
        <v>108</v>
      </c>
      <c r="O320" s="4">
        <v>844710.67</v>
      </c>
      <c r="P320" s="4">
        <v>137140.18</v>
      </c>
    </row>
    <row r="321" spans="1:16" x14ac:dyDescent="0.35">
      <c r="A321" s="4" t="s">
        <v>103</v>
      </c>
      <c r="B321" s="5">
        <v>45658</v>
      </c>
      <c r="C321" s="4" t="s">
        <v>17</v>
      </c>
      <c r="D321" s="4" t="s">
        <v>18</v>
      </c>
      <c r="E321" s="4">
        <v>76614.320000000007</v>
      </c>
      <c r="F321" s="4">
        <v>5639</v>
      </c>
      <c r="G321" s="4">
        <v>0.17399999999999999</v>
      </c>
      <c r="H321" s="4">
        <v>15</v>
      </c>
      <c r="I321" s="4">
        <v>92.9</v>
      </c>
      <c r="J321" s="4">
        <v>1.02</v>
      </c>
      <c r="K321" s="4" t="s">
        <v>108</v>
      </c>
      <c r="L321" s="4">
        <v>1</v>
      </c>
      <c r="M321" s="4">
        <v>4</v>
      </c>
      <c r="N321" s="4" t="s">
        <v>108</v>
      </c>
      <c r="O321" s="4">
        <v>620264.19999999995</v>
      </c>
      <c r="P321" s="4">
        <v>91365.64</v>
      </c>
    </row>
    <row r="322" spans="1:16" x14ac:dyDescent="0.35">
      <c r="A322" s="4" t="s">
        <v>103</v>
      </c>
      <c r="B322" s="5">
        <v>45689</v>
      </c>
      <c r="C322" s="4" t="s">
        <v>17</v>
      </c>
      <c r="D322" s="4" t="s">
        <v>18</v>
      </c>
      <c r="E322" s="4">
        <v>24088.06</v>
      </c>
      <c r="F322" s="4">
        <v>3466</v>
      </c>
      <c r="G322" s="4">
        <v>0</v>
      </c>
      <c r="H322" s="4">
        <v>11</v>
      </c>
      <c r="I322" s="4">
        <v>88</v>
      </c>
      <c r="J322" s="4">
        <v>0.2</v>
      </c>
      <c r="K322" s="4" t="s">
        <v>108</v>
      </c>
      <c r="L322" s="4">
        <v>0</v>
      </c>
      <c r="M322" s="4">
        <v>3.8</v>
      </c>
      <c r="N322" s="4" t="s">
        <v>108</v>
      </c>
      <c r="O322" s="4">
        <v>536845.42000000004</v>
      </c>
      <c r="P322" s="4">
        <v>107473.75</v>
      </c>
    </row>
    <row r="323" spans="1:16" x14ac:dyDescent="0.35">
      <c r="A323" s="4" t="s">
        <v>103</v>
      </c>
      <c r="B323" s="5">
        <v>45717</v>
      </c>
      <c r="C323" s="4" t="s">
        <v>17</v>
      </c>
      <c r="D323" s="4" t="s">
        <v>18</v>
      </c>
      <c r="E323" s="4">
        <v>81902.58</v>
      </c>
      <c r="F323" s="4">
        <v>7775</v>
      </c>
      <c r="G323" s="4">
        <v>0.215</v>
      </c>
      <c r="H323" s="4">
        <v>20</v>
      </c>
      <c r="I323" s="4">
        <v>85.2</v>
      </c>
      <c r="J323" s="4">
        <v>4.8899999999999997</v>
      </c>
      <c r="K323" s="4" t="s">
        <v>108</v>
      </c>
      <c r="L323" s="4">
        <v>1</v>
      </c>
      <c r="M323" s="4">
        <v>4.2</v>
      </c>
      <c r="N323" s="4" t="s">
        <v>108</v>
      </c>
      <c r="O323" s="4">
        <v>726776.22</v>
      </c>
      <c r="P323" s="4">
        <v>90804.49</v>
      </c>
    </row>
    <row r="324" spans="1:16" x14ac:dyDescent="0.35">
      <c r="A324" s="4" t="s">
        <v>103</v>
      </c>
      <c r="B324" s="5">
        <v>45748</v>
      </c>
      <c r="C324" s="4" t="s">
        <v>17</v>
      </c>
      <c r="D324" s="4" t="s">
        <v>18</v>
      </c>
      <c r="E324" s="4">
        <v>40553.11</v>
      </c>
      <c r="F324" s="4">
        <v>5317</v>
      </c>
      <c r="G324" s="4">
        <v>0.16500000000000001</v>
      </c>
      <c r="H324" s="4">
        <v>17</v>
      </c>
      <c r="I324" s="4">
        <v>84.3</v>
      </c>
      <c r="J324" s="4">
        <v>11.82</v>
      </c>
      <c r="K324" s="4" t="s">
        <v>108</v>
      </c>
      <c r="L324" s="4">
        <v>0</v>
      </c>
      <c r="M324" s="4">
        <v>4.0999999999999996</v>
      </c>
      <c r="N324" s="4" t="s">
        <v>108</v>
      </c>
      <c r="O324" s="4">
        <v>559660.84</v>
      </c>
      <c r="P324" s="4">
        <v>71443.61</v>
      </c>
    </row>
  </sheetData>
  <autoFilter ref="A4:P324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24"/>
  <sheetViews>
    <sheetView showGridLines="0" topLeftCell="M1" zoomScaleNormal="100" workbookViewId="0">
      <pane ySplit="4" topLeftCell="A5" activePane="bottomLeft" state="frozen"/>
      <selection pane="bottomLeft" activeCell="Q5" sqref="Q5"/>
    </sheetView>
  </sheetViews>
  <sheetFormatPr defaultColWidth="8.6328125" defaultRowHeight="14.5" x14ac:dyDescent="0.35"/>
  <cols>
    <col min="1" max="2" width="11" customWidth="1"/>
    <col min="3" max="3" width="9" customWidth="1"/>
    <col min="4" max="4" width="12" customWidth="1"/>
    <col min="5" max="5" width="15" customWidth="1"/>
    <col min="6" max="6" width="9" customWidth="1"/>
    <col min="7" max="7" width="15" customWidth="1"/>
    <col min="8" max="8" width="24" customWidth="1"/>
    <col min="9" max="9" width="16" customWidth="1"/>
    <col min="10" max="10" width="11" customWidth="1"/>
    <col min="11" max="11" width="14" customWidth="1"/>
    <col min="12" max="12" width="15" customWidth="1"/>
    <col min="13" max="13" width="19" customWidth="1"/>
    <col min="14" max="14" width="15" customWidth="1"/>
    <col min="15" max="15" width="11" customWidth="1"/>
    <col min="16" max="17" width="14" customWidth="1"/>
  </cols>
  <sheetData>
    <row r="1" spans="1:17" ht="18" x14ac:dyDescent="0.4">
      <c r="A1" s="1" t="s">
        <v>110</v>
      </c>
    </row>
    <row r="2" spans="1:17" ht="30" customHeight="1" x14ac:dyDescent="0.35">
      <c r="A2" s="6" t="s">
        <v>111</v>
      </c>
    </row>
    <row r="4" spans="1:17" ht="26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112</v>
      </c>
      <c r="M4" s="3" t="s">
        <v>113</v>
      </c>
      <c r="N4" s="3" t="s">
        <v>114</v>
      </c>
      <c r="O4" s="3" t="s">
        <v>9</v>
      </c>
      <c r="P4" s="3" t="s">
        <v>14</v>
      </c>
      <c r="Q4" s="3" t="s">
        <v>15</v>
      </c>
    </row>
    <row r="5" spans="1:17" x14ac:dyDescent="0.35">
      <c r="A5" s="4" t="s">
        <v>16</v>
      </c>
      <c r="B5" s="5">
        <v>45658</v>
      </c>
      <c r="C5" s="4" t="s">
        <v>17</v>
      </c>
      <c r="D5" s="4" t="s">
        <v>18</v>
      </c>
      <c r="E5" s="4">
        <v>70389.11</v>
      </c>
      <c r="F5" s="4">
        <v>8302</v>
      </c>
      <c r="G5" s="4">
        <v>4.2000000000000003E-2</v>
      </c>
      <c r="H5" s="4">
        <v>75</v>
      </c>
      <c r="I5" s="4">
        <v>5.28</v>
      </c>
      <c r="J5" s="4">
        <v>1</v>
      </c>
      <c r="K5" s="4">
        <v>3.1</v>
      </c>
      <c r="L5" s="4">
        <v>0</v>
      </c>
      <c r="M5" s="4">
        <v>1</v>
      </c>
      <c r="N5" s="4">
        <v>0</v>
      </c>
      <c r="O5" s="4">
        <v>17</v>
      </c>
      <c r="P5" s="4">
        <v>658832.62</v>
      </c>
      <c r="Q5" s="4">
        <v>84349.93</v>
      </c>
    </row>
    <row r="6" spans="1:17" x14ac:dyDescent="0.35">
      <c r="A6" s="4" t="s">
        <v>16</v>
      </c>
      <c r="B6" s="5">
        <v>45689</v>
      </c>
      <c r="C6" s="4" t="s">
        <v>17</v>
      </c>
      <c r="D6" s="4" t="s">
        <v>18</v>
      </c>
      <c r="E6" s="4">
        <v>43827.89</v>
      </c>
      <c r="F6" s="4">
        <v>8487</v>
      </c>
      <c r="G6" s="4">
        <v>0.16800000000000001</v>
      </c>
      <c r="H6" s="4">
        <v>84.4</v>
      </c>
      <c r="I6" s="4">
        <v>4.3099999999999996</v>
      </c>
      <c r="J6" s="4">
        <v>0</v>
      </c>
      <c r="K6" s="4">
        <v>2.8</v>
      </c>
      <c r="L6" s="4">
        <v>0</v>
      </c>
      <c r="M6" s="4">
        <v>1</v>
      </c>
      <c r="N6" s="4">
        <v>0</v>
      </c>
      <c r="O6" s="4">
        <v>23</v>
      </c>
      <c r="P6" s="4">
        <v>634436</v>
      </c>
      <c r="Q6" s="4">
        <v>106130.54</v>
      </c>
    </row>
    <row r="7" spans="1:17" x14ac:dyDescent="0.35">
      <c r="A7" s="4" t="s">
        <v>16</v>
      </c>
      <c r="B7" s="5">
        <v>45717</v>
      </c>
      <c r="C7" s="4" t="s">
        <v>17</v>
      </c>
      <c r="D7" s="4" t="s">
        <v>18</v>
      </c>
      <c r="E7" s="4">
        <v>59921.75</v>
      </c>
      <c r="F7" s="4">
        <v>9113</v>
      </c>
      <c r="G7" s="4">
        <v>0.13300000000000001</v>
      </c>
      <c r="H7" s="4">
        <v>88</v>
      </c>
      <c r="I7" s="4">
        <v>12</v>
      </c>
      <c r="J7" s="4">
        <v>0</v>
      </c>
      <c r="K7" s="4">
        <v>3.2</v>
      </c>
      <c r="L7" s="4">
        <v>0</v>
      </c>
      <c r="M7" s="4">
        <v>1</v>
      </c>
      <c r="N7" s="4">
        <v>0</v>
      </c>
      <c r="O7" s="4">
        <v>20</v>
      </c>
      <c r="P7" s="4">
        <v>678722.06</v>
      </c>
      <c r="Q7" s="4">
        <v>101883.86</v>
      </c>
    </row>
    <row r="8" spans="1:17" x14ac:dyDescent="0.35">
      <c r="A8" s="4" t="s">
        <v>16</v>
      </c>
      <c r="B8" s="5">
        <v>45748</v>
      </c>
      <c r="C8" s="4" t="s">
        <v>17</v>
      </c>
      <c r="D8" s="4" t="s">
        <v>18</v>
      </c>
      <c r="E8" s="4">
        <v>56856.63</v>
      </c>
      <c r="F8" s="4">
        <v>9431</v>
      </c>
      <c r="G8" s="4">
        <v>0.14199999999999999</v>
      </c>
      <c r="H8" s="4">
        <v>86.9</v>
      </c>
      <c r="I8" s="4">
        <v>4.97</v>
      </c>
      <c r="J8" s="4">
        <v>0</v>
      </c>
      <c r="K8" s="4">
        <v>3.4</v>
      </c>
      <c r="L8" s="4">
        <v>0</v>
      </c>
      <c r="M8" s="4">
        <v>1</v>
      </c>
      <c r="N8" s="4">
        <v>0</v>
      </c>
      <c r="O8" s="4">
        <v>23</v>
      </c>
      <c r="P8" s="4">
        <v>658920.30000000005</v>
      </c>
      <c r="Q8" s="4">
        <v>97910.37</v>
      </c>
    </row>
    <row r="9" spans="1:17" x14ac:dyDescent="0.35">
      <c r="A9" s="4" t="s">
        <v>19</v>
      </c>
      <c r="B9" s="5">
        <v>45658</v>
      </c>
      <c r="C9" s="4" t="s">
        <v>17</v>
      </c>
      <c r="D9" s="4" t="s">
        <v>20</v>
      </c>
      <c r="E9" s="4">
        <v>48412.639999999999</v>
      </c>
      <c r="F9" s="4">
        <v>9545</v>
      </c>
      <c r="G9" s="4">
        <v>0.23100000000000001</v>
      </c>
      <c r="H9" s="4">
        <v>97.6</v>
      </c>
      <c r="I9" s="4">
        <v>6.94</v>
      </c>
      <c r="J9" s="4">
        <v>1</v>
      </c>
      <c r="K9" s="4">
        <v>4.2</v>
      </c>
      <c r="L9" s="4">
        <v>0</v>
      </c>
      <c r="M9" s="4">
        <v>0</v>
      </c>
      <c r="N9" s="4">
        <v>0</v>
      </c>
      <c r="O9" s="4">
        <v>21</v>
      </c>
      <c r="P9" s="4">
        <v>741341.44</v>
      </c>
      <c r="Q9" s="4">
        <v>119208.17</v>
      </c>
    </row>
    <row r="10" spans="1:17" x14ac:dyDescent="0.35">
      <c r="A10" s="4" t="s">
        <v>19</v>
      </c>
      <c r="B10" s="5">
        <v>45689</v>
      </c>
      <c r="C10" s="4" t="s">
        <v>17</v>
      </c>
      <c r="D10" s="4" t="s">
        <v>20</v>
      </c>
      <c r="E10" s="4">
        <v>64811.21</v>
      </c>
      <c r="F10" s="4">
        <v>9792</v>
      </c>
      <c r="G10" s="4">
        <v>0.112</v>
      </c>
      <c r="H10" s="4">
        <v>84.2</v>
      </c>
      <c r="I10" s="4">
        <v>2.88</v>
      </c>
      <c r="J10" s="4">
        <v>0</v>
      </c>
      <c r="K10" s="4">
        <v>4.2</v>
      </c>
      <c r="L10" s="4">
        <v>0</v>
      </c>
      <c r="M10" s="4">
        <v>0</v>
      </c>
      <c r="N10" s="4">
        <v>0</v>
      </c>
      <c r="O10" s="4">
        <v>20</v>
      </c>
      <c r="P10" s="4">
        <v>761835.34</v>
      </c>
      <c r="Q10" s="4">
        <v>149602.23000000001</v>
      </c>
    </row>
    <row r="11" spans="1:17" x14ac:dyDescent="0.35">
      <c r="A11" s="4" t="s">
        <v>19</v>
      </c>
      <c r="B11" s="5">
        <v>45717</v>
      </c>
      <c r="C11" s="4" t="s">
        <v>17</v>
      </c>
      <c r="D11" s="4" t="s">
        <v>20</v>
      </c>
      <c r="E11" s="4">
        <v>46213.45</v>
      </c>
      <c r="F11" s="4">
        <v>10616</v>
      </c>
      <c r="G11" s="4">
        <v>0.122</v>
      </c>
      <c r="H11" s="4">
        <v>85.2</v>
      </c>
      <c r="I11" s="4">
        <v>0.2</v>
      </c>
      <c r="J11" s="4">
        <v>1</v>
      </c>
      <c r="K11" s="4">
        <v>4.0999999999999996</v>
      </c>
      <c r="L11" s="4">
        <v>0</v>
      </c>
      <c r="M11" s="4">
        <v>0</v>
      </c>
      <c r="N11" s="4">
        <v>0</v>
      </c>
      <c r="O11" s="4">
        <v>22</v>
      </c>
      <c r="P11" s="4">
        <v>806615.54</v>
      </c>
      <c r="Q11" s="4">
        <v>131364.62</v>
      </c>
    </row>
    <row r="12" spans="1:17" x14ac:dyDescent="0.35">
      <c r="A12" s="4" t="s">
        <v>19</v>
      </c>
      <c r="B12" s="5">
        <v>45748</v>
      </c>
      <c r="C12" s="4" t="s">
        <v>17</v>
      </c>
      <c r="D12" s="4" t="s">
        <v>20</v>
      </c>
      <c r="E12" s="4">
        <v>68148.52</v>
      </c>
      <c r="F12" s="4">
        <v>8567</v>
      </c>
      <c r="G12" s="4">
        <v>0.127</v>
      </c>
      <c r="H12" s="4">
        <v>95.6</v>
      </c>
      <c r="I12" s="4">
        <v>0.8</v>
      </c>
      <c r="J12" s="4">
        <v>0</v>
      </c>
      <c r="K12" s="4">
        <v>3.9</v>
      </c>
      <c r="L12" s="4">
        <v>0</v>
      </c>
      <c r="M12" s="4">
        <v>0</v>
      </c>
      <c r="N12" s="4">
        <v>0</v>
      </c>
      <c r="O12" s="4">
        <v>23</v>
      </c>
      <c r="P12" s="4">
        <v>850164.26</v>
      </c>
      <c r="Q12" s="4">
        <v>149262.75</v>
      </c>
    </row>
    <row r="13" spans="1:17" x14ac:dyDescent="0.35">
      <c r="A13" s="4" t="s">
        <v>21</v>
      </c>
      <c r="B13" s="5">
        <v>45658</v>
      </c>
      <c r="C13" s="4" t="s">
        <v>22</v>
      </c>
      <c r="D13" s="4" t="s">
        <v>23</v>
      </c>
      <c r="E13" s="4">
        <v>71838.86</v>
      </c>
      <c r="F13" s="4">
        <v>10979</v>
      </c>
      <c r="G13" s="4">
        <v>0.215</v>
      </c>
      <c r="H13" s="4">
        <v>88.6</v>
      </c>
      <c r="I13" s="4">
        <v>7.7</v>
      </c>
      <c r="J13" s="4">
        <v>1</v>
      </c>
      <c r="K13" s="4">
        <v>3.8</v>
      </c>
      <c r="L13" s="4">
        <v>0</v>
      </c>
      <c r="M13" s="4">
        <v>0</v>
      </c>
      <c r="N13" s="4">
        <v>1</v>
      </c>
      <c r="O13" s="4">
        <v>26</v>
      </c>
      <c r="P13" s="4">
        <v>930581.7</v>
      </c>
      <c r="Q13" s="4">
        <v>136207.98000000001</v>
      </c>
    </row>
    <row r="14" spans="1:17" x14ac:dyDescent="0.35">
      <c r="A14" s="4" t="s">
        <v>21</v>
      </c>
      <c r="B14" s="5">
        <v>45689</v>
      </c>
      <c r="C14" s="4" t="s">
        <v>22</v>
      </c>
      <c r="D14" s="4" t="s">
        <v>23</v>
      </c>
      <c r="E14" s="4">
        <v>68133.440000000002</v>
      </c>
      <c r="F14" s="4">
        <v>9459</v>
      </c>
      <c r="G14" s="4">
        <v>0.22</v>
      </c>
      <c r="H14" s="4">
        <v>85</v>
      </c>
      <c r="I14" s="4">
        <v>1.91</v>
      </c>
      <c r="J14" s="4">
        <v>0</v>
      </c>
      <c r="K14" s="4">
        <v>4.2</v>
      </c>
      <c r="L14" s="4">
        <v>0</v>
      </c>
      <c r="M14" s="4">
        <v>0</v>
      </c>
      <c r="N14" s="4">
        <v>1</v>
      </c>
      <c r="O14" s="4">
        <v>21</v>
      </c>
      <c r="P14" s="4">
        <v>779010.94</v>
      </c>
      <c r="Q14" s="4">
        <v>106328.09</v>
      </c>
    </row>
    <row r="15" spans="1:17" x14ac:dyDescent="0.35">
      <c r="A15" s="4" t="s">
        <v>21</v>
      </c>
      <c r="B15" s="5">
        <v>45717</v>
      </c>
      <c r="C15" s="4" t="s">
        <v>22</v>
      </c>
      <c r="D15" s="4" t="s">
        <v>23</v>
      </c>
      <c r="E15" s="4">
        <v>34285.21</v>
      </c>
      <c r="F15" s="4">
        <v>9172</v>
      </c>
      <c r="G15" s="4">
        <v>0.21299999999999999</v>
      </c>
      <c r="H15" s="4">
        <v>88.3</v>
      </c>
      <c r="I15" s="4">
        <v>10.46</v>
      </c>
      <c r="J15" s="4">
        <v>1</v>
      </c>
      <c r="K15" s="4">
        <v>3.8</v>
      </c>
      <c r="L15" s="4">
        <v>0</v>
      </c>
      <c r="M15" s="4">
        <v>0</v>
      </c>
      <c r="N15" s="4">
        <v>1</v>
      </c>
      <c r="O15" s="4">
        <v>22</v>
      </c>
      <c r="P15" s="4">
        <v>723060.76</v>
      </c>
      <c r="Q15" s="4">
        <v>123131.24</v>
      </c>
    </row>
    <row r="16" spans="1:17" x14ac:dyDescent="0.35">
      <c r="A16" s="4" t="s">
        <v>21</v>
      </c>
      <c r="B16" s="5">
        <v>45748</v>
      </c>
      <c r="C16" s="4" t="s">
        <v>22</v>
      </c>
      <c r="D16" s="4" t="s">
        <v>23</v>
      </c>
      <c r="E16" s="4">
        <v>67979.88</v>
      </c>
      <c r="F16" s="4">
        <v>11230</v>
      </c>
      <c r="G16" s="4">
        <v>2E-3</v>
      </c>
      <c r="H16" s="4">
        <v>85.3</v>
      </c>
      <c r="I16" s="4">
        <v>7.16</v>
      </c>
      <c r="J16" s="4">
        <v>0</v>
      </c>
      <c r="K16" s="4">
        <v>3.8</v>
      </c>
      <c r="L16" s="4">
        <v>0</v>
      </c>
      <c r="M16" s="4">
        <v>0</v>
      </c>
      <c r="N16" s="4">
        <v>1</v>
      </c>
      <c r="O16" s="4">
        <v>28</v>
      </c>
      <c r="P16" s="4">
        <v>910791.94</v>
      </c>
      <c r="Q16" s="4">
        <v>158891.28</v>
      </c>
    </row>
    <row r="17" spans="1:17" x14ac:dyDescent="0.35">
      <c r="A17" s="4" t="s">
        <v>24</v>
      </c>
      <c r="B17" s="5">
        <v>45658</v>
      </c>
      <c r="C17" s="4" t="s">
        <v>17</v>
      </c>
      <c r="D17" s="4" t="s">
        <v>18</v>
      </c>
      <c r="E17" s="4">
        <v>71828.259999999995</v>
      </c>
      <c r="F17" s="4">
        <v>12775</v>
      </c>
      <c r="G17" s="4">
        <v>0.11600000000000001</v>
      </c>
      <c r="H17" s="4">
        <v>81.7</v>
      </c>
      <c r="I17" s="4">
        <v>4.24</v>
      </c>
      <c r="J17" s="4">
        <v>1</v>
      </c>
      <c r="K17" s="4">
        <v>4.2</v>
      </c>
      <c r="L17" s="4">
        <v>0</v>
      </c>
      <c r="M17" s="4">
        <v>1</v>
      </c>
      <c r="N17" s="4">
        <v>0</v>
      </c>
      <c r="O17" s="4">
        <v>30</v>
      </c>
      <c r="P17" s="4">
        <v>922168.6</v>
      </c>
      <c r="Q17" s="4">
        <v>107494.53</v>
      </c>
    </row>
    <row r="18" spans="1:17" x14ac:dyDescent="0.35">
      <c r="A18" s="4" t="s">
        <v>24</v>
      </c>
      <c r="B18" s="5">
        <v>45689</v>
      </c>
      <c r="C18" s="4" t="s">
        <v>17</v>
      </c>
      <c r="D18" s="4" t="s">
        <v>18</v>
      </c>
      <c r="E18" s="4">
        <v>55716.82</v>
      </c>
      <c r="F18" s="4">
        <v>10054</v>
      </c>
      <c r="G18" s="4">
        <v>0.14599999999999999</v>
      </c>
      <c r="H18" s="4">
        <v>84.9</v>
      </c>
      <c r="I18" s="4">
        <v>1.06</v>
      </c>
      <c r="J18" s="4">
        <v>0</v>
      </c>
      <c r="K18" s="4">
        <v>4.3</v>
      </c>
      <c r="L18" s="4">
        <v>0</v>
      </c>
      <c r="M18" s="4">
        <v>1</v>
      </c>
      <c r="N18" s="4">
        <v>0</v>
      </c>
      <c r="O18" s="4">
        <v>24</v>
      </c>
      <c r="P18" s="4">
        <v>726606.28</v>
      </c>
      <c r="Q18" s="4">
        <v>122729.29</v>
      </c>
    </row>
    <row r="19" spans="1:17" x14ac:dyDescent="0.35">
      <c r="A19" s="4" t="s">
        <v>24</v>
      </c>
      <c r="B19" s="5">
        <v>45717</v>
      </c>
      <c r="C19" s="4" t="s">
        <v>17</v>
      </c>
      <c r="D19" s="4" t="s">
        <v>18</v>
      </c>
      <c r="E19" s="4">
        <v>59909.51</v>
      </c>
      <c r="F19" s="4">
        <v>8895</v>
      </c>
      <c r="G19" s="4">
        <v>0.22800000000000001</v>
      </c>
      <c r="H19" s="4">
        <v>88.8</v>
      </c>
      <c r="I19" s="4">
        <v>0.27</v>
      </c>
      <c r="J19" s="4">
        <v>0</v>
      </c>
      <c r="K19" s="4">
        <v>4.3</v>
      </c>
      <c r="L19" s="4">
        <v>0</v>
      </c>
      <c r="M19" s="4">
        <v>1</v>
      </c>
      <c r="N19" s="4">
        <v>0</v>
      </c>
      <c r="O19" s="4">
        <v>23</v>
      </c>
      <c r="P19" s="4">
        <v>746501.09</v>
      </c>
      <c r="Q19" s="4">
        <v>136816.72</v>
      </c>
    </row>
    <row r="20" spans="1:17" x14ac:dyDescent="0.35">
      <c r="A20" s="4" t="s">
        <v>24</v>
      </c>
      <c r="B20" s="5">
        <v>45748</v>
      </c>
      <c r="C20" s="4" t="s">
        <v>17</v>
      </c>
      <c r="D20" s="4" t="s">
        <v>18</v>
      </c>
      <c r="E20" s="4">
        <v>75305.710000000006</v>
      </c>
      <c r="F20" s="4">
        <v>10940</v>
      </c>
      <c r="G20" s="4">
        <v>6.0000000000000001E-3</v>
      </c>
      <c r="H20" s="4">
        <v>76.5</v>
      </c>
      <c r="I20" s="4">
        <v>1.32</v>
      </c>
      <c r="J20" s="4">
        <v>0</v>
      </c>
      <c r="K20" s="4">
        <v>4.5</v>
      </c>
      <c r="L20" s="4">
        <v>0</v>
      </c>
      <c r="M20" s="4">
        <v>1</v>
      </c>
      <c r="N20" s="4">
        <v>0</v>
      </c>
      <c r="O20" s="4">
        <v>26</v>
      </c>
      <c r="P20" s="4">
        <v>834017.02</v>
      </c>
      <c r="Q20" s="4">
        <v>114745.03</v>
      </c>
    </row>
    <row r="21" spans="1:17" x14ac:dyDescent="0.35">
      <c r="A21" s="4" t="s">
        <v>25</v>
      </c>
      <c r="B21" s="5">
        <v>45658</v>
      </c>
      <c r="C21" s="4" t="s">
        <v>26</v>
      </c>
      <c r="D21" s="4" t="s">
        <v>18</v>
      </c>
      <c r="E21" s="4">
        <v>48804.22</v>
      </c>
      <c r="F21" s="4">
        <v>7057</v>
      </c>
      <c r="G21" s="4">
        <v>5.0000000000000001E-3</v>
      </c>
      <c r="H21" s="4">
        <v>87.7</v>
      </c>
      <c r="I21" s="4">
        <v>1.22</v>
      </c>
      <c r="J21" s="4">
        <v>0</v>
      </c>
      <c r="K21" s="4">
        <v>3.7</v>
      </c>
      <c r="L21" s="4">
        <v>0</v>
      </c>
      <c r="M21" s="4">
        <v>1</v>
      </c>
      <c r="N21" s="4">
        <v>0</v>
      </c>
      <c r="O21" s="4">
        <v>15</v>
      </c>
      <c r="P21" s="4">
        <v>666152.52</v>
      </c>
      <c r="Q21" s="4">
        <v>107490.58</v>
      </c>
    </row>
    <row r="22" spans="1:17" x14ac:dyDescent="0.35">
      <c r="A22" s="4" t="s">
        <v>25</v>
      </c>
      <c r="B22" s="5">
        <v>45689</v>
      </c>
      <c r="C22" s="4" t="s">
        <v>26</v>
      </c>
      <c r="D22" s="4" t="s">
        <v>18</v>
      </c>
      <c r="E22" s="4">
        <v>59117.9</v>
      </c>
      <c r="F22" s="4">
        <v>4263</v>
      </c>
      <c r="G22" s="4">
        <v>0.11899999999999999</v>
      </c>
      <c r="H22" s="4">
        <v>87.6</v>
      </c>
      <c r="I22" s="4">
        <v>4.01</v>
      </c>
      <c r="J22" s="4">
        <v>0</v>
      </c>
      <c r="K22" s="4">
        <v>3.6</v>
      </c>
      <c r="L22" s="4">
        <v>0</v>
      </c>
      <c r="M22" s="4">
        <v>1</v>
      </c>
      <c r="N22" s="4">
        <v>0</v>
      </c>
      <c r="O22" s="4">
        <v>9</v>
      </c>
      <c r="P22" s="4">
        <v>573155.18999999994</v>
      </c>
      <c r="Q22" s="4">
        <v>83680.75</v>
      </c>
    </row>
    <row r="23" spans="1:17" x14ac:dyDescent="0.35">
      <c r="A23" s="4" t="s">
        <v>25</v>
      </c>
      <c r="B23" s="5">
        <v>45717</v>
      </c>
      <c r="C23" s="4" t="s">
        <v>26</v>
      </c>
      <c r="D23" s="4" t="s">
        <v>18</v>
      </c>
      <c r="E23" s="4">
        <v>78831.12</v>
      </c>
      <c r="F23" s="4">
        <v>5538</v>
      </c>
      <c r="G23" s="4">
        <v>0</v>
      </c>
      <c r="H23" s="4">
        <v>94.1</v>
      </c>
      <c r="I23" s="4">
        <v>0.2</v>
      </c>
      <c r="J23" s="4">
        <v>0</v>
      </c>
      <c r="K23" s="4">
        <v>3.9</v>
      </c>
      <c r="L23" s="4">
        <v>0</v>
      </c>
      <c r="M23" s="4">
        <v>1</v>
      </c>
      <c r="N23" s="4">
        <v>0</v>
      </c>
      <c r="O23" s="4">
        <v>15</v>
      </c>
      <c r="P23" s="4">
        <v>666573.19999999995</v>
      </c>
      <c r="Q23" s="4">
        <v>140641.01999999999</v>
      </c>
    </row>
    <row r="24" spans="1:17" x14ac:dyDescent="0.35">
      <c r="A24" s="4" t="s">
        <v>25</v>
      </c>
      <c r="B24" s="5">
        <v>45748</v>
      </c>
      <c r="C24" s="4" t="s">
        <v>26</v>
      </c>
      <c r="D24" s="4" t="s">
        <v>18</v>
      </c>
      <c r="E24" s="4">
        <v>41441.93</v>
      </c>
      <c r="F24" s="4">
        <v>4865</v>
      </c>
      <c r="G24" s="4">
        <v>0.158</v>
      </c>
      <c r="H24" s="4">
        <v>88.3</v>
      </c>
      <c r="I24" s="4">
        <v>0.5</v>
      </c>
      <c r="J24" s="4">
        <v>0</v>
      </c>
      <c r="K24" s="4">
        <v>4</v>
      </c>
      <c r="L24" s="4">
        <v>0</v>
      </c>
      <c r="M24" s="4">
        <v>1</v>
      </c>
      <c r="N24" s="4">
        <v>0</v>
      </c>
      <c r="O24" s="4">
        <v>16</v>
      </c>
      <c r="P24" s="4">
        <v>591619.94999999995</v>
      </c>
      <c r="Q24" s="4">
        <v>99521.35</v>
      </c>
    </row>
    <row r="25" spans="1:17" x14ac:dyDescent="0.35">
      <c r="A25" s="4" t="s">
        <v>27</v>
      </c>
      <c r="B25" s="5">
        <v>45658</v>
      </c>
      <c r="C25" s="4" t="s">
        <v>22</v>
      </c>
      <c r="D25" s="4" t="s">
        <v>18</v>
      </c>
      <c r="E25" s="4">
        <v>30356.28</v>
      </c>
      <c r="F25" s="4">
        <v>2822</v>
      </c>
      <c r="G25" s="4">
        <v>0.23100000000000001</v>
      </c>
      <c r="H25" s="4">
        <v>84.8</v>
      </c>
      <c r="I25" s="4">
        <v>6.95</v>
      </c>
      <c r="J25" s="4">
        <v>0</v>
      </c>
      <c r="K25" s="4">
        <v>5</v>
      </c>
      <c r="L25" s="4">
        <v>0</v>
      </c>
      <c r="M25" s="4">
        <v>1</v>
      </c>
      <c r="N25" s="4">
        <v>0</v>
      </c>
      <c r="O25" s="4">
        <v>9</v>
      </c>
      <c r="P25" s="4">
        <v>415721.82</v>
      </c>
      <c r="Q25" s="4">
        <v>61179.15</v>
      </c>
    </row>
    <row r="26" spans="1:17" x14ac:dyDescent="0.35">
      <c r="A26" s="4" t="s">
        <v>27</v>
      </c>
      <c r="B26" s="5">
        <v>45689</v>
      </c>
      <c r="C26" s="4" t="s">
        <v>22</v>
      </c>
      <c r="D26" s="4" t="s">
        <v>18</v>
      </c>
      <c r="E26" s="4">
        <v>33518.879999999997</v>
      </c>
      <c r="F26" s="4">
        <v>2121</v>
      </c>
      <c r="G26" s="4">
        <v>0.17599999999999999</v>
      </c>
      <c r="H26" s="4">
        <v>88.5</v>
      </c>
      <c r="I26" s="4">
        <v>0.2</v>
      </c>
      <c r="J26" s="4">
        <v>0</v>
      </c>
      <c r="K26" s="4">
        <v>5</v>
      </c>
      <c r="L26" s="4">
        <v>0</v>
      </c>
      <c r="M26" s="4">
        <v>1</v>
      </c>
      <c r="N26" s="4">
        <v>0</v>
      </c>
      <c r="O26" s="4">
        <v>8</v>
      </c>
      <c r="P26" s="4">
        <v>491905.13</v>
      </c>
      <c r="Q26" s="4">
        <v>79212.259999999995</v>
      </c>
    </row>
    <row r="27" spans="1:17" x14ac:dyDescent="0.35">
      <c r="A27" s="4" t="s">
        <v>27</v>
      </c>
      <c r="B27" s="5">
        <v>45717</v>
      </c>
      <c r="C27" s="4" t="s">
        <v>22</v>
      </c>
      <c r="D27" s="4" t="s">
        <v>18</v>
      </c>
      <c r="E27" s="4">
        <v>42267.37</v>
      </c>
      <c r="F27" s="4">
        <v>3364</v>
      </c>
      <c r="G27" s="4">
        <v>0.16</v>
      </c>
      <c r="H27" s="4">
        <v>82</v>
      </c>
      <c r="I27" s="4">
        <v>1.61</v>
      </c>
      <c r="J27" s="4">
        <v>1</v>
      </c>
      <c r="K27" s="4">
        <v>4.5999999999999996</v>
      </c>
      <c r="L27" s="4">
        <v>0</v>
      </c>
      <c r="M27" s="4">
        <v>1</v>
      </c>
      <c r="N27" s="4">
        <v>0</v>
      </c>
      <c r="O27" s="4">
        <v>13</v>
      </c>
      <c r="P27" s="4">
        <v>555929.4</v>
      </c>
      <c r="Q27" s="4">
        <v>115201.76</v>
      </c>
    </row>
    <row r="28" spans="1:17" x14ac:dyDescent="0.35">
      <c r="A28" s="4" t="s">
        <v>27</v>
      </c>
      <c r="B28" s="5">
        <v>45748</v>
      </c>
      <c r="C28" s="4" t="s">
        <v>22</v>
      </c>
      <c r="D28" s="4" t="s">
        <v>18</v>
      </c>
      <c r="E28" s="4">
        <v>62060.43</v>
      </c>
      <c r="F28" s="4">
        <v>2613</v>
      </c>
      <c r="G28" s="4">
        <v>0.216</v>
      </c>
      <c r="H28" s="4">
        <v>92.1</v>
      </c>
      <c r="I28" s="4">
        <v>1.55</v>
      </c>
      <c r="J28" s="4">
        <v>0</v>
      </c>
      <c r="K28" s="4">
        <v>4.7</v>
      </c>
      <c r="L28" s="4">
        <v>0</v>
      </c>
      <c r="M28" s="4">
        <v>1</v>
      </c>
      <c r="N28" s="4">
        <v>0</v>
      </c>
      <c r="O28" s="4">
        <v>12</v>
      </c>
      <c r="P28" s="4">
        <v>565810.99</v>
      </c>
      <c r="Q28" s="4">
        <v>77825.460000000006</v>
      </c>
    </row>
    <row r="29" spans="1:17" x14ac:dyDescent="0.35">
      <c r="A29" s="4" t="s">
        <v>28</v>
      </c>
      <c r="B29" s="5">
        <v>45658</v>
      </c>
      <c r="C29" s="4" t="s">
        <v>29</v>
      </c>
      <c r="D29" s="4" t="s">
        <v>30</v>
      </c>
      <c r="E29" s="4">
        <v>57696.69</v>
      </c>
      <c r="F29" s="4">
        <v>10218</v>
      </c>
      <c r="G29" s="4">
        <v>0.121</v>
      </c>
      <c r="H29" s="4">
        <v>94.8</v>
      </c>
      <c r="I29" s="4">
        <v>2.99</v>
      </c>
      <c r="J29" s="4">
        <v>0</v>
      </c>
      <c r="K29" s="4">
        <v>3.5</v>
      </c>
      <c r="L29" s="4">
        <v>1</v>
      </c>
      <c r="M29" s="4">
        <v>0</v>
      </c>
      <c r="N29" s="4">
        <v>0</v>
      </c>
      <c r="O29" s="4">
        <v>25</v>
      </c>
      <c r="P29" s="4">
        <v>811771.14</v>
      </c>
      <c r="Q29" s="4">
        <v>148756.24</v>
      </c>
    </row>
    <row r="30" spans="1:17" x14ac:dyDescent="0.35">
      <c r="A30" s="4" t="s">
        <v>28</v>
      </c>
      <c r="B30" s="5">
        <v>45689</v>
      </c>
      <c r="C30" s="4" t="s">
        <v>29</v>
      </c>
      <c r="D30" s="4" t="s">
        <v>30</v>
      </c>
      <c r="E30" s="4">
        <v>172415.52</v>
      </c>
      <c r="F30" s="4">
        <v>8927</v>
      </c>
      <c r="G30" s="4">
        <v>0.14000000000000001</v>
      </c>
      <c r="H30" s="4">
        <v>86.2</v>
      </c>
      <c r="I30" s="4">
        <v>7.04</v>
      </c>
      <c r="J30" s="4">
        <v>0</v>
      </c>
      <c r="K30" s="4">
        <v>3.9</v>
      </c>
      <c r="L30" s="4">
        <v>1</v>
      </c>
      <c r="M30" s="4">
        <v>0</v>
      </c>
      <c r="N30" s="4">
        <v>0</v>
      </c>
      <c r="O30" s="4">
        <v>22</v>
      </c>
      <c r="P30" s="4">
        <v>800451.94</v>
      </c>
      <c r="Q30" s="4">
        <v>111572.29</v>
      </c>
    </row>
    <row r="31" spans="1:17" x14ac:dyDescent="0.35">
      <c r="A31" s="4" t="s">
        <v>28</v>
      </c>
      <c r="B31" s="5">
        <v>45717</v>
      </c>
      <c r="C31" s="4" t="s">
        <v>29</v>
      </c>
      <c r="D31" s="4" t="s">
        <v>30</v>
      </c>
      <c r="E31" s="4">
        <v>55270.52</v>
      </c>
      <c r="F31" s="4">
        <v>9315</v>
      </c>
      <c r="G31" s="4">
        <v>0.16900000000000001</v>
      </c>
      <c r="H31" s="4">
        <v>91.9</v>
      </c>
      <c r="I31" s="4">
        <v>4.9400000000000004</v>
      </c>
      <c r="J31" s="4">
        <v>0</v>
      </c>
      <c r="K31" s="4">
        <v>4</v>
      </c>
      <c r="L31" s="4">
        <v>1</v>
      </c>
      <c r="M31" s="4">
        <v>0</v>
      </c>
      <c r="N31" s="4">
        <v>0</v>
      </c>
      <c r="O31" s="4">
        <v>23</v>
      </c>
      <c r="P31" s="4">
        <v>783672.82</v>
      </c>
      <c r="Q31" s="4">
        <v>112577.14</v>
      </c>
    </row>
    <row r="32" spans="1:17" x14ac:dyDescent="0.35">
      <c r="A32" s="4" t="s">
        <v>28</v>
      </c>
      <c r="B32" s="5">
        <v>45748</v>
      </c>
      <c r="C32" s="4" t="s">
        <v>29</v>
      </c>
      <c r="D32" s="4" t="s">
        <v>30</v>
      </c>
      <c r="E32" s="4">
        <v>52715.1</v>
      </c>
      <c r="F32" s="4">
        <v>7223</v>
      </c>
      <c r="G32" s="4">
        <v>0.122</v>
      </c>
      <c r="H32" s="4">
        <v>84.2</v>
      </c>
      <c r="I32" s="4">
        <v>16.149999999999999</v>
      </c>
      <c r="J32" s="4">
        <v>0</v>
      </c>
      <c r="K32" s="4">
        <v>3.7</v>
      </c>
      <c r="L32" s="4">
        <v>1</v>
      </c>
      <c r="M32" s="4">
        <v>0</v>
      </c>
      <c r="N32" s="4">
        <v>0</v>
      </c>
      <c r="O32" s="4">
        <v>16</v>
      </c>
      <c r="P32" s="4">
        <v>701641.97</v>
      </c>
      <c r="Q32" s="4">
        <v>106111.86</v>
      </c>
    </row>
    <row r="33" spans="1:17" x14ac:dyDescent="0.35">
      <c r="A33" s="4" t="s">
        <v>31</v>
      </c>
      <c r="B33" s="5">
        <v>45658</v>
      </c>
      <c r="C33" s="4" t="s">
        <v>17</v>
      </c>
      <c r="D33" s="4" t="s">
        <v>18</v>
      </c>
      <c r="E33" s="4">
        <v>68600.62</v>
      </c>
      <c r="F33" s="4">
        <v>3988</v>
      </c>
      <c r="G33" s="4">
        <v>0.124</v>
      </c>
      <c r="H33" s="4">
        <v>85</v>
      </c>
      <c r="I33" s="4">
        <v>0.48</v>
      </c>
      <c r="J33" s="4">
        <v>0</v>
      </c>
      <c r="K33" s="4">
        <v>3.6</v>
      </c>
      <c r="L33" s="4">
        <v>0</v>
      </c>
      <c r="M33" s="4">
        <v>1</v>
      </c>
      <c r="N33" s="4">
        <v>0</v>
      </c>
      <c r="O33" s="4">
        <v>11</v>
      </c>
      <c r="P33" s="4">
        <v>511844.41</v>
      </c>
      <c r="Q33" s="4">
        <v>72774.44</v>
      </c>
    </row>
    <row r="34" spans="1:17" x14ac:dyDescent="0.35">
      <c r="A34" s="4" t="s">
        <v>31</v>
      </c>
      <c r="B34" s="5">
        <v>45689</v>
      </c>
      <c r="C34" s="4" t="s">
        <v>17</v>
      </c>
      <c r="D34" s="4" t="s">
        <v>18</v>
      </c>
      <c r="E34" s="4">
        <v>63176.73</v>
      </c>
      <c r="F34" s="4">
        <v>2390</v>
      </c>
      <c r="G34" s="4">
        <v>0.216</v>
      </c>
      <c r="H34" s="4">
        <v>87.5</v>
      </c>
      <c r="I34" s="4">
        <v>0.31</v>
      </c>
      <c r="J34" s="4">
        <v>0</v>
      </c>
      <c r="K34" s="4">
        <v>3.1</v>
      </c>
      <c r="L34" s="4">
        <v>0</v>
      </c>
      <c r="M34" s="4">
        <v>1</v>
      </c>
      <c r="N34" s="4">
        <v>0</v>
      </c>
      <c r="O34" s="4">
        <v>9</v>
      </c>
      <c r="P34" s="4">
        <v>537383.79</v>
      </c>
      <c r="Q34" s="4">
        <v>63773.27</v>
      </c>
    </row>
    <row r="35" spans="1:17" x14ac:dyDescent="0.35">
      <c r="A35" s="4" t="s">
        <v>31</v>
      </c>
      <c r="B35" s="5">
        <v>45717</v>
      </c>
      <c r="C35" s="4" t="s">
        <v>17</v>
      </c>
      <c r="D35" s="4" t="s">
        <v>18</v>
      </c>
      <c r="E35" s="4">
        <v>44970.080000000002</v>
      </c>
      <c r="F35" s="4">
        <v>2471</v>
      </c>
      <c r="G35" s="4">
        <v>0.13600000000000001</v>
      </c>
      <c r="H35" s="4">
        <v>87.6</v>
      </c>
      <c r="I35" s="4">
        <v>3.01</v>
      </c>
      <c r="J35" s="4">
        <v>1</v>
      </c>
      <c r="K35" s="4">
        <v>3.7</v>
      </c>
      <c r="L35" s="4">
        <v>0</v>
      </c>
      <c r="M35" s="4">
        <v>1</v>
      </c>
      <c r="N35" s="4">
        <v>0</v>
      </c>
      <c r="O35" s="4">
        <v>11</v>
      </c>
      <c r="P35" s="4">
        <v>500173.02</v>
      </c>
      <c r="Q35" s="4">
        <v>70982.05</v>
      </c>
    </row>
    <row r="36" spans="1:17" x14ac:dyDescent="0.35">
      <c r="A36" s="4" t="s">
        <v>31</v>
      </c>
      <c r="B36" s="5">
        <v>45748</v>
      </c>
      <c r="C36" s="4" t="s">
        <v>17</v>
      </c>
      <c r="D36" s="4" t="s">
        <v>18</v>
      </c>
      <c r="E36" s="4">
        <v>69816.350000000006</v>
      </c>
      <c r="F36" s="4">
        <v>971</v>
      </c>
      <c r="G36" s="4">
        <v>0.16800000000000001</v>
      </c>
      <c r="H36" s="4">
        <v>89.9</v>
      </c>
      <c r="I36" s="4">
        <v>12.15</v>
      </c>
      <c r="J36" s="4">
        <v>0</v>
      </c>
      <c r="K36" s="4">
        <v>3.6</v>
      </c>
      <c r="L36" s="4">
        <v>0</v>
      </c>
      <c r="M36" s="4">
        <v>1</v>
      </c>
      <c r="N36" s="4">
        <v>0</v>
      </c>
      <c r="O36" s="4">
        <v>5</v>
      </c>
      <c r="P36" s="4">
        <v>427917.38</v>
      </c>
      <c r="Q36" s="4">
        <v>81824.31</v>
      </c>
    </row>
    <row r="37" spans="1:17" x14ac:dyDescent="0.35">
      <c r="A37" s="4" t="s">
        <v>32</v>
      </c>
      <c r="B37" s="5">
        <v>45658</v>
      </c>
      <c r="C37" s="4" t="s">
        <v>22</v>
      </c>
      <c r="D37" s="4" t="s">
        <v>18</v>
      </c>
      <c r="E37" s="4">
        <v>54597.83</v>
      </c>
      <c r="F37" s="4">
        <v>9429</v>
      </c>
      <c r="G37" s="4">
        <v>0.188</v>
      </c>
      <c r="H37" s="4">
        <v>83.3</v>
      </c>
      <c r="I37" s="4">
        <v>11.71</v>
      </c>
      <c r="J37" s="4">
        <v>0</v>
      </c>
      <c r="K37" s="4">
        <v>4.2</v>
      </c>
      <c r="L37" s="4">
        <v>0</v>
      </c>
      <c r="M37" s="4">
        <v>1</v>
      </c>
      <c r="N37" s="4">
        <v>0</v>
      </c>
      <c r="O37" s="4">
        <v>21</v>
      </c>
      <c r="P37" s="4">
        <v>641865.03</v>
      </c>
      <c r="Q37" s="4">
        <v>81342.58</v>
      </c>
    </row>
    <row r="38" spans="1:17" x14ac:dyDescent="0.35">
      <c r="A38" s="4" t="s">
        <v>32</v>
      </c>
      <c r="B38" s="5">
        <v>45689</v>
      </c>
      <c r="C38" s="4" t="s">
        <v>22</v>
      </c>
      <c r="D38" s="4" t="s">
        <v>18</v>
      </c>
      <c r="E38" s="4">
        <v>73771.91</v>
      </c>
      <c r="F38" s="4">
        <v>11695</v>
      </c>
      <c r="G38" s="4">
        <v>7.0000000000000007E-2</v>
      </c>
      <c r="H38" s="4">
        <v>84.7</v>
      </c>
      <c r="I38" s="4">
        <v>0.62</v>
      </c>
      <c r="J38" s="4">
        <v>0</v>
      </c>
      <c r="K38" s="4">
        <v>3.9</v>
      </c>
      <c r="L38" s="4">
        <v>0</v>
      </c>
      <c r="M38" s="4">
        <v>1</v>
      </c>
      <c r="N38" s="4">
        <v>0</v>
      </c>
      <c r="O38" s="4">
        <v>25</v>
      </c>
      <c r="P38" s="4">
        <v>799477.76000000001</v>
      </c>
      <c r="Q38" s="4">
        <v>164974.41</v>
      </c>
    </row>
    <row r="39" spans="1:17" x14ac:dyDescent="0.35">
      <c r="A39" s="4" t="s">
        <v>32</v>
      </c>
      <c r="B39" s="5">
        <v>45717</v>
      </c>
      <c r="C39" s="4" t="s">
        <v>22</v>
      </c>
      <c r="D39" s="4" t="s">
        <v>18</v>
      </c>
      <c r="E39" s="4">
        <v>74413.88</v>
      </c>
      <c r="F39" s="4">
        <v>9449</v>
      </c>
      <c r="G39" s="4">
        <v>3.9E-2</v>
      </c>
      <c r="H39" s="4">
        <v>92.1</v>
      </c>
      <c r="I39" s="4">
        <v>2.12</v>
      </c>
      <c r="J39" s="4">
        <v>0</v>
      </c>
      <c r="K39" s="4">
        <v>3.5</v>
      </c>
      <c r="L39" s="4">
        <v>0</v>
      </c>
      <c r="M39" s="4">
        <v>1</v>
      </c>
      <c r="N39" s="4">
        <v>0</v>
      </c>
      <c r="O39" s="4">
        <v>23</v>
      </c>
      <c r="P39" s="4">
        <v>798952.17</v>
      </c>
      <c r="Q39" s="4">
        <v>161499.04</v>
      </c>
    </row>
    <row r="40" spans="1:17" x14ac:dyDescent="0.35">
      <c r="A40" s="4" t="s">
        <v>32</v>
      </c>
      <c r="B40" s="5">
        <v>45748</v>
      </c>
      <c r="C40" s="4" t="s">
        <v>22</v>
      </c>
      <c r="D40" s="4" t="s">
        <v>18</v>
      </c>
      <c r="E40" s="4">
        <v>52483.77</v>
      </c>
      <c r="F40" s="4">
        <v>10453</v>
      </c>
      <c r="G40" s="4">
        <v>0.247</v>
      </c>
      <c r="H40" s="4">
        <v>99</v>
      </c>
      <c r="I40" s="4">
        <v>6.31</v>
      </c>
      <c r="J40" s="4">
        <v>0</v>
      </c>
      <c r="K40" s="4">
        <v>3.6</v>
      </c>
      <c r="L40" s="4">
        <v>0</v>
      </c>
      <c r="M40" s="4">
        <v>1</v>
      </c>
      <c r="N40" s="4">
        <v>0</v>
      </c>
      <c r="O40" s="4">
        <v>25</v>
      </c>
      <c r="P40" s="4">
        <v>800979.78</v>
      </c>
      <c r="Q40" s="4">
        <v>149242.26999999999</v>
      </c>
    </row>
    <row r="41" spans="1:17" x14ac:dyDescent="0.35">
      <c r="A41" s="4" t="s">
        <v>33</v>
      </c>
      <c r="B41" s="5">
        <v>45658</v>
      </c>
      <c r="C41" s="4" t="s">
        <v>22</v>
      </c>
      <c r="D41" s="4" t="s">
        <v>30</v>
      </c>
      <c r="E41" s="4">
        <v>75269.87</v>
      </c>
      <c r="F41" s="4">
        <v>8838</v>
      </c>
      <c r="G41" s="4">
        <v>9.1999999999999998E-2</v>
      </c>
      <c r="H41" s="4">
        <v>83.1</v>
      </c>
      <c r="I41" s="4">
        <v>9.56</v>
      </c>
      <c r="J41" s="4">
        <v>1</v>
      </c>
      <c r="K41" s="4">
        <v>4.2</v>
      </c>
      <c r="L41" s="4">
        <v>1</v>
      </c>
      <c r="M41" s="4">
        <v>0</v>
      </c>
      <c r="N41" s="4">
        <v>0</v>
      </c>
      <c r="O41" s="4">
        <v>21</v>
      </c>
      <c r="P41" s="4">
        <v>820593.93</v>
      </c>
      <c r="Q41" s="4">
        <v>115860.06</v>
      </c>
    </row>
    <row r="42" spans="1:17" x14ac:dyDescent="0.35">
      <c r="A42" s="4" t="s">
        <v>33</v>
      </c>
      <c r="B42" s="5">
        <v>45689</v>
      </c>
      <c r="C42" s="4" t="s">
        <v>22</v>
      </c>
      <c r="D42" s="4" t="s">
        <v>30</v>
      </c>
      <c r="E42" s="4">
        <v>61245.41</v>
      </c>
      <c r="F42" s="4">
        <v>8156</v>
      </c>
      <c r="G42" s="4">
        <v>0.156</v>
      </c>
      <c r="H42" s="4">
        <v>92.9</v>
      </c>
      <c r="I42" s="4">
        <v>9.0500000000000007</v>
      </c>
      <c r="J42" s="4">
        <v>0</v>
      </c>
      <c r="K42" s="4">
        <v>3.8</v>
      </c>
      <c r="L42" s="4">
        <v>1</v>
      </c>
      <c r="M42" s="4">
        <v>0</v>
      </c>
      <c r="N42" s="4">
        <v>0</v>
      </c>
      <c r="O42" s="4">
        <v>19</v>
      </c>
      <c r="P42" s="4">
        <v>718330.53</v>
      </c>
      <c r="Q42" s="4">
        <v>93247.9</v>
      </c>
    </row>
    <row r="43" spans="1:17" x14ac:dyDescent="0.35">
      <c r="A43" s="4" t="s">
        <v>33</v>
      </c>
      <c r="B43" s="5">
        <v>45717</v>
      </c>
      <c r="C43" s="4" t="s">
        <v>22</v>
      </c>
      <c r="D43" s="4" t="s">
        <v>30</v>
      </c>
      <c r="E43" s="4">
        <v>93381.26</v>
      </c>
      <c r="F43" s="4">
        <v>7562</v>
      </c>
      <c r="G43" s="4">
        <v>0.19800000000000001</v>
      </c>
      <c r="H43" s="4">
        <v>82.9</v>
      </c>
      <c r="I43" s="4">
        <v>5.05</v>
      </c>
      <c r="J43" s="4">
        <v>0</v>
      </c>
      <c r="K43" s="4">
        <v>4</v>
      </c>
      <c r="L43" s="4">
        <v>1</v>
      </c>
      <c r="M43" s="4">
        <v>0</v>
      </c>
      <c r="N43" s="4">
        <v>0</v>
      </c>
      <c r="O43" s="4">
        <v>19</v>
      </c>
      <c r="P43" s="4">
        <v>736633.4</v>
      </c>
      <c r="Q43" s="4">
        <v>115654.66</v>
      </c>
    </row>
    <row r="44" spans="1:17" x14ac:dyDescent="0.35">
      <c r="A44" s="4" t="s">
        <v>33</v>
      </c>
      <c r="B44" s="5">
        <v>45748</v>
      </c>
      <c r="C44" s="4" t="s">
        <v>22</v>
      </c>
      <c r="D44" s="4" t="s">
        <v>30</v>
      </c>
      <c r="E44" s="4">
        <v>65012.19</v>
      </c>
      <c r="F44" s="4">
        <v>9598</v>
      </c>
      <c r="G44" s="4">
        <v>8.5000000000000006E-2</v>
      </c>
      <c r="H44" s="4">
        <v>98.3</v>
      </c>
      <c r="I44" s="4">
        <v>0.89</v>
      </c>
      <c r="J44" s="4">
        <v>0</v>
      </c>
      <c r="K44" s="4">
        <v>3.8</v>
      </c>
      <c r="L44" s="4">
        <v>1</v>
      </c>
      <c r="M44" s="4">
        <v>0</v>
      </c>
      <c r="N44" s="4">
        <v>0</v>
      </c>
      <c r="O44" s="4">
        <v>24</v>
      </c>
      <c r="P44" s="4">
        <v>828623.85</v>
      </c>
      <c r="Q44" s="4">
        <v>167320.51999999999</v>
      </c>
    </row>
    <row r="45" spans="1:17" x14ac:dyDescent="0.35">
      <c r="A45" s="4" t="s">
        <v>34</v>
      </c>
      <c r="B45" s="5">
        <v>45658</v>
      </c>
      <c r="C45" s="4" t="s">
        <v>17</v>
      </c>
      <c r="D45" s="4" t="s">
        <v>30</v>
      </c>
      <c r="E45" s="4">
        <v>40462.94</v>
      </c>
      <c r="F45" s="4">
        <v>3660</v>
      </c>
      <c r="G45" s="4">
        <v>0.218</v>
      </c>
      <c r="H45" s="4">
        <v>95.2</v>
      </c>
      <c r="I45" s="4">
        <v>5.57</v>
      </c>
      <c r="J45" s="4">
        <v>0</v>
      </c>
      <c r="K45" s="4">
        <v>4.4000000000000004</v>
      </c>
      <c r="L45" s="4">
        <v>1</v>
      </c>
      <c r="M45" s="4">
        <v>0</v>
      </c>
      <c r="N45" s="4">
        <v>0</v>
      </c>
      <c r="O45" s="4">
        <v>11</v>
      </c>
      <c r="P45" s="4">
        <v>592195.85</v>
      </c>
      <c r="Q45" s="4">
        <v>92291.56</v>
      </c>
    </row>
    <row r="46" spans="1:17" x14ac:dyDescent="0.35">
      <c r="A46" s="4" t="s">
        <v>34</v>
      </c>
      <c r="B46" s="5">
        <v>45689</v>
      </c>
      <c r="C46" s="4" t="s">
        <v>17</v>
      </c>
      <c r="D46" s="4" t="s">
        <v>30</v>
      </c>
      <c r="E46" s="4">
        <v>46123.88</v>
      </c>
      <c r="F46" s="4">
        <v>3227</v>
      </c>
      <c r="G46" s="4">
        <v>0.14299999999999999</v>
      </c>
      <c r="H46" s="4">
        <v>75.400000000000006</v>
      </c>
      <c r="I46" s="4">
        <v>1.06</v>
      </c>
      <c r="J46" s="4">
        <v>0</v>
      </c>
      <c r="K46" s="4">
        <v>4.4000000000000004</v>
      </c>
      <c r="L46" s="4">
        <v>1</v>
      </c>
      <c r="M46" s="4">
        <v>0</v>
      </c>
      <c r="N46" s="4">
        <v>0</v>
      </c>
      <c r="O46" s="4">
        <v>10</v>
      </c>
      <c r="P46" s="4">
        <v>532644.46</v>
      </c>
      <c r="Q46" s="4">
        <v>60681.32</v>
      </c>
    </row>
    <row r="47" spans="1:17" x14ac:dyDescent="0.35">
      <c r="A47" s="4" t="s">
        <v>34</v>
      </c>
      <c r="B47" s="5">
        <v>45717</v>
      </c>
      <c r="C47" s="4" t="s">
        <v>17</v>
      </c>
      <c r="D47" s="4" t="s">
        <v>30</v>
      </c>
      <c r="E47" s="4">
        <v>68077.539999999994</v>
      </c>
      <c r="F47" s="4">
        <v>3360</v>
      </c>
      <c r="G47" s="4">
        <v>0.128</v>
      </c>
      <c r="H47" s="4">
        <v>88.2</v>
      </c>
      <c r="I47" s="4">
        <v>1.24</v>
      </c>
      <c r="J47" s="4">
        <v>1</v>
      </c>
      <c r="K47" s="4">
        <v>4</v>
      </c>
      <c r="L47" s="4">
        <v>1</v>
      </c>
      <c r="M47" s="4">
        <v>0</v>
      </c>
      <c r="N47" s="4">
        <v>0</v>
      </c>
      <c r="O47" s="4">
        <v>14</v>
      </c>
      <c r="P47" s="4">
        <v>657429.18000000005</v>
      </c>
      <c r="Q47" s="4">
        <v>88919.74</v>
      </c>
    </row>
    <row r="48" spans="1:17" x14ac:dyDescent="0.35">
      <c r="A48" s="4" t="s">
        <v>34</v>
      </c>
      <c r="B48" s="5">
        <v>45748</v>
      </c>
      <c r="C48" s="4" t="s">
        <v>17</v>
      </c>
      <c r="D48" s="4" t="s">
        <v>30</v>
      </c>
      <c r="E48" s="4">
        <v>64882.14</v>
      </c>
      <c r="F48" s="4">
        <v>3642</v>
      </c>
      <c r="G48" s="4">
        <v>1.9E-2</v>
      </c>
      <c r="H48" s="4">
        <v>87.8</v>
      </c>
      <c r="I48" s="4">
        <v>4.5199999999999996</v>
      </c>
      <c r="J48" s="4">
        <v>0</v>
      </c>
      <c r="K48" s="4">
        <v>4.2</v>
      </c>
      <c r="L48" s="4">
        <v>1</v>
      </c>
      <c r="M48" s="4">
        <v>0</v>
      </c>
      <c r="N48" s="4">
        <v>0</v>
      </c>
      <c r="O48" s="4">
        <v>13</v>
      </c>
      <c r="P48" s="4">
        <v>605178</v>
      </c>
      <c r="Q48" s="4">
        <v>106958.74</v>
      </c>
    </row>
    <row r="49" spans="1:17" x14ac:dyDescent="0.35">
      <c r="A49" s="4" t="s">
        <v>35</v>
      </c>
      <c r="B49" s="5">
        <v>45658</v>
      </c>
      <c r="C49" s="4" t="s">
        <v>29</v>
      </c>
      <c r="D49" s="4" t="s">
        <v>18</v>
      </c>
      <c r="E49" s="4">
        <v>138855.51</v>
      </c>
      <c r="F49" s="4">
        <v>5145</v>
      </c>
      <c r="G49" s="4">
        <v>0.06</v>
      </c>
      <c r="H49" s="4">
        <v>88.2</v>
      </c>
      <c r="I49" s="4">
        <v>9.58</v>
      </c>
      <c r="J49" s="4">
        <v>0</v>
      </c>
      <c r="K49" s="4">
        <v>3.2</v>
      </c>
      <c r="L49" s="4">
        <v>0</v>
      </c>
      <c r="M49" s="4">
        <v>1</v>
      </c>
      <c r="N49" s="4">
        <v>0</v>
      </c>
      <c r="O49" s="4">
        <v>17</v>
      </c>
      <c r="P49" s="4">
        <v>595467.6</v>
      </c>
      <c r="Q49" s="4">
        <v>104276.46</v>
      </c>
    </row>
    <row r="50" spans="1:17" x14ac:dyDescent="0.35">
      <c r="A50" s="4" t="s">
        <v>35</v>
      </c>
      <c r="B50" s="5">
        <v>45689</v>
      </c>
      <c r="C50" s="4" t="s">
        <v>29</v>
      </c>
      <c r="D50" s="4" t="s">
        <v>18</v>
      </c>
      <c r="E50" s="4">
        <v>63630.21</v>
      </c>
      <c r="F50" s="4">
        <v>4460</v>
      </c>
      <c r="G50" s="4">
        <v>0.23499999999999999</v>
      </c>
      <c r="H50" s="4">
        <v>98.6</v>
      </c>
      <c r="I50" s="4">
        <v>5.52</v>
      </c>
      <c r="J50" s="4">
        <v>0</v>
      </c>
      <c r="K50" s="4">
        <v>3.5</v>
      </c>
      <c r="L50" s="4">
        <v>0</v>
      </c>
      <c r="M50" s="4">
        <v>1</v>
      </c>
      <c r="N50" s="4">
        <v>0</v>
      </c>
      <c r="O50" s="4">
        <v>14</v>
      </c>
      <c r="P50" s="4">
        <v>599603.4</v>
      </c>
      <c r="Q50" s="4">
        <v>112685.12</v>
      </c>
    </row>
    <row r="51" spans="1:17" x14ac:dyDescent="0.35">
      <c r="A51" s="4" t="s">
        <v>35</v>
      </c>
      <c r="B51" s="5">
        <v>45717</v>
      </c>
      <c r="C51" s="4" t="s">
        <v>29</v>
      </c>
      <c r="D51" s="4" t="s">
        <v>18</v>
      </c>
      <c r="E51" s="4">
        <v>50043.65</v>
      </c>
      <c r="F51" s="4">
        <v>3804</v>
      </c>
      <c r="G51" s="4">
        <v>0.113</v>
      </c>
      <c r="H51" s="4">
        <v>90.9</v>
      </c>
      <c r="I51" s="4">
        <v>2.7</v>
      </c>
      <c r="J51" s="4">
        <v>1</v>
      </c>
      <c r="K51" s="4">
        <v>3.2</v>
      </c>
      <c r="L51" s="4">
        <v>0</v>
      </c>
      <c r="M51" s="4">
        <v>1</v>
      </c>
      <c r="N51" s="4">
        <v>0</v>
      </c>
      <c r="O51" s="4">
        <v>11</v>
      </c>
      <c r="P51" s="4">
        <v>614800.09</v>
      </c>
      <c r="Q51" s="4">
        <v>100044.2</v>
      </c>
    </row>
    <row r="52" spans="1:17" x14ac:dyDescent="0.35">
      <c r="A52" s="4" t="s">
        <v>35</v>
      </c>
      <c r="B52" s="5">
        <v>45748</v>
      </c>
      <c r="C52" s="4" t="s">
        <v>29</v>
      </c>
      <c r="D52" s="4" t="s">
        <v>18</v>
      </c>
      <c r="E52" s="4">
        <v>42093.84</v>
      </c>
      <c r="F52" s="4">
        <v>4074</v>
      </c>
      <c r="G52" s="4">
        <v>0.155</v>
      </c>
      <c r="H52" s="4">
        <v>88</v>
      </c>
      <c r="I52" s="4">
        <v>9.64</v>
      </c>
      <c r="J52" s="4">
        <v>0</v>
      </c>
      <c r="K52" s="4">
        <v>3.3</v>
      </c>
      <c r="L52" s="4">
        <v>0</v>
      </c>
      <c r="M52" s="4">
        <v>1</v>
      </c>
      <c r="N52" s="4">
        <v>0</v>
      </c>
      <c r="O52" s="4">
        <v>15</v>
      </c>
      <c r="P52" s="4">
        <v>585365.73</v>
      </c>
      <c r="Q52" s="4">
        <v>81011.520000000004</v>
      </c>
    </row>
    <row r="53" spans="1:17" x14ac:dyDescent="0.35">
      <c r="A53" s="4" t="s">
        <v>36</v>
      </c>
      <c r="B53" s="5">
        <v>45658</v>
      </c>
      <c r="C53" s="4" t="s">
        <v>22</v>
      </c>
      <c r="D53" s="4" t="s">
        <v>30</v>
      </c>
      <c r="E53" s="4">
        <v>46624.05</v>
      </c>
      <c r="F53" s="4">
        <v>5104</v>
      </c>
      <c r="G53" s="4">
        <v>0.109</v>
      </c>
      <c r="H53" s="4">
        <v>97.3</v>
      </c>
      <c r="I53" s="4">
        <v>3.49</v>
      </c>
      <c r="J53" s="4">
        <v>1</v>
      </c>
      <c r="K53" s="4">
        <v>4.7</v>
      </c>
      <c r="L53" s="4">
        <v>1</v>
      </c>
      <c r="M53" s="4">
        <v>0</v>
      </c>
      <c r="N53" s="4">
        <v>0</v>
      </c>
      <c r="O53" s="4">
        <v>11</v>
      </c>
      <c r="P53" s="4">
        <v>622811.74</v>
      </c>
      <c r="Q53" s="4">
        <v>109978.35</v>
      </c>
    </row>
    <row r="54" spans="1:17" x14ac:dyDescent="0.35">
      <c r="A54" s="4" t="s">
        <v>36</v>
      </c>
      <c r="B54" s="5">
        <v>45689</v>
      </c>
      <c r="C54" s="4" t="s">
        <v>22</v>
      </c>
      <c r="D54" s="4" t="s">
        <v>30</v>
      </c>
      <c r="E54" s="4">
        <v>49710.29</v>
      </c>
      <c r="F54" s="4">
        <v>5559</v>
      </c>
      <c r="G54" s="4">
        <v>0.218</v>
      </c>
      <c r="H54" s="4">
        <v>71</v>
      </c>
      <c r="I54" s="4">
        <v>9.11</v>
      </c>
      <c r="J54" s="4">
        <v>0</v>
      </c>
      <c r="K54" s="4">
        <v>4.5999999999999996</v>
      </c>
      <c r="L54" s="4">
        <v>1</v>
      </c>
      <c r="M54" s="4">
        <v>0</v>
      </c>
      <c r="N54" s="4">
        <v>0</v>
      </c>
      <c r="O54" s="4">
        <v>14</v>
      </c>
      <c r="P54" s="4">
        <v>603297.56999999995</v>
      </c>
      <c r="Q54" s="4">
        <v>60592.26</v>
      </c>
    </row>
    <row r="55" spans="1:17" x14ac:dyDescent="0.35">
      <c r="A55" s="4" t="s">
        <v>36</v>
      </c>
      <c r="B55" s="5">
        <v>45717</v>
      </c>
      <c r="C55" s="4" t="s">
        <v>22</v>
      </c>
      <c r="D55" s="4" t="s">
        <v>30</v>
      </c>
      <c r="E55" s="4">
        <v>48287.85</v>
      </c>
      <c r="F55" s="4">
        <v>5150</v>
      </c>
      <c r="G55" s="4">
        <v>8.0000000000000002E-3</v>
      </c>
      <c r="H55" s="4">
        <v>80.400000000000006</v>
      </c>
      <c r="I55" s="4">
        <v>7.4</v>
      </c>
      <c r="J55" s="4">
        <v>0</v>
      </c>
      <c r="K55" s="4">
        <v>4.5</v>
      </c>
      <c r="L55" s="4">
        <v>1</v>
      </c>
      <c r="M55" s="4">
        <v>0</v>
      </c>
      <c r="N55" s="4">
        <v>0</v>
      </c>
      <c r="O55" s="4">
        <v>12</v>
      </c>
      <c r="P55" s="4">
        <v>625672.86</v>
      </c>
      <c r="Q55" s="4">
        <v>118020.12</v>
      </c>
    </row>
    <row r="56" spans="1:17" x14ac:dyDescent="0.35">
      <c r="A56" s="4" t="s">
        <v>36</v>
      </c>
      <c r="B56" s="5">
        <v>45748</v>
      </c>
      <c r="C56" s="4" t="s">
        <v>22</v>
      </c>
      <c r="D56" s="4" t="s">
        <v>30</v>
      </c>
      <c r="E56" s="4">
        <v>65312.49</v>
      </c>
      <c r="F56" s="4">
        <v>7189</v>
      </c>
      <c r="G56" s="4">
        <v>0.05</v>
      </c>
      <c r="H56" s="4">
        <v>93.7</v>
      </c>
      <c r="I56" s="4">
        <v>7.16</v>
      </c>
      <c r="J56" s="4">
        <v>0</v>
      </c>
      <c r="K56" s="4">
        <v>4.5999999999999996</v>
      </c>
      <c r="L56" s="4">
        <v>1</v>
      </c>
      <c r="M56" s="4">
        <v>0</v>
      </c>
      <c r="N56" s="4">
        <v>0</v>
      </c>
      <c r="O56" s="4">
        <v>19</v>
      </c>
      <c r="P56" s="4">
        <v>773815.14</v>
      </c>
      <c r="Q56" s="4">
        <v>133948.39000000001</v>
      </c>
    </row>
    <row r="57" spans="1:17" x14ac:dyDescent="0.35">
      <c r="A57" s="4" t="s">
        <v>37</v>
      </c>
      <c r="B57" s="5">
        <v>45658</v>
      </c>
      <c r="C57" s="4" t="s">
        <v>29</v>
      </c>
      <c r="D57" s="4" t="s">
        <v>20</v>
      </c>
      <c r="E57" s="4">
        <v>53015.46</v>
      </c>
      <c r="F57" s="4">
        <v>3279</v>
      </c>
      <c r="G57" s="4">
        <v>8.6999999999999994E-2</v>
      </c>
      <c r="H57" s="4">
        <v>84.3</v>
      </c>
      <c r="I57" s="4">
        <v>22.02</v>
      </c>
      <c r="J57" s="4">
        <v>0</v>
      </c>
      <c r="K57" s="4">
        <v>3.9</v>
      </c>
      <c r="L57" s="4">
        <v>0</v>
      </c>
      <c r="M57" s="4">
        <v>0</v>
      </c>
      <c r="N57" s="4">
        <v>0</v>
      </c>
      <c r="O57" s="4">
        <v>9</v>
      </c>
      <c r="P57" s="4">
        <v>463534.25</v>
      </c>
      <c r="Q57" s="4">
        <v>81834.539999999994</v>
      </c>
    </row>
    <row r="58" spans="1:17" x14ac:dyDescent="0.35">
      <c r="A58" s="4" t="s">
        <v>37</v>
      </c>
      <c r="B58" s="5">
        <v>45689</v>
      </c>
      <c r="C58" s="4" t="s">
        <v>29</v>
      </c>
      <c r="D58" s="4" t="s">
        <v>20</v>
      </c>
      <c r="E58" s="4">
        <v>99874.01</v>
      </c>
      <c r="F58" s="4">
        <v>5887</v>
      </c>
      <c r="G58" s="4">
        <v>0.26200000000000001</v>
      </c>
      <c r="H58" s="4">
        <v>88.7</v>
      </c>
      <c r="I58" s="4">
        <v>6.18</v>
      </c>
      <c r="J58" s="4">
        <v>0</v>
      </c>
      <c r="K58" s="4">
        <v>4.7</v>
      </c>
      <c r="L58" s="4">
        <v>0</v>
      </c>
      <c r="M58" s="4">
        <v>0</v>
      </c>
      <c r="N58" s="4">
        <v>0</v>
      </c>
      <c r="O58" s="4">
        <v>14</v>
      </c>
      <c r="P58" s="4">
        <v>746677.75</v>
      </c>
      <c r="Q58" s="4">
        <v>122437.84</v>
      </c>
    </row>
    <row r="59" spans="1:17" x14ac:dyDescent="0.35">
      <c r="A59" s="4" t="s">
        <v>37</v>
      </c>
      <c r="B59" s="5">
        <v>45717</v>
      </c>
      <c r="C59" s="4" t="s">
        <v>29</v>
      </c>
      <c r="D59" s="4" t="s">
        <v>20</v>
      </c>
      <c r="E59" s="4">
        <v>81195.5</v>
      </c>
      <c r="F59" s="4">
        <v>5516</v>
      </c>
      <c r="G59" s="4">
        <v>0.106</v>
      </c>
      <c r="H59" s="4">
        <v>88</v>
      </c>
      <c r="I59" s="4">
        <v>1.76</v>
      </c>
      <c r="J59" s="4">
        <v>0</v>
      </c>
      <c r="K59" s="4">
        <v>4.3</v>
      </c>
      <c r="L59" s="4">
        <v>0</v>
      </c>
      <c r="M59" s="4">
        <v>0</v>
      </c>
      <c r="N59" s="4">
        <v>0</v>
      </c>
      <c r="O59" s="4">
        <v>14</v>
      </c>
      <c r="P59" s="4">
        <v>720852.5</v>
      </c>
      <c r="Q59" s="4">
        <v>98565.62</v>
      </c>
    </row>
    <row r="60" spans="1:17" x14ac:dyDescent="0.35">
      <c r="A60" s="4" t="s">
        <v>37</v>
      </c>
      <c r="B60" s="5">
        <v>45748</v>
      </c>
      <c r="C60" s="4" t="s">
        <v>29</v>
      </c>
      <c r="D60" s="4" t="s">
        <v>20</v>
      </c>
      <c r="E60" s="4">
        <v>27808.6</v>
      </c>
      <c r="F60" s="4">
        <v>2863</v>
      </c>
      <c r="G60" s="4">
        <v>0.08</v>
      </c>
      <c r="H60" s="4">
        <v>89.3</v>
      </c>
      <c r="I60" s="4">
        <v>0.47</v>
      </c>
      <c r="J60" s="4">
        <v>0</v>
      </c>
      <c r="K60" s="4">
        <v>4.0999999999999996</v>
      </c>
      <c r="L60" s="4">
        <v>0</v>
      </c>
      <c r="M60" s="4">
        <v>0</v>
      </c>
      <c r="N60" s="4">
        <v>0</v>
      </c>
      <c r="O60" s="4">
        <v>13</v>
      </c>
      <c r="P60" s="4">
        <v>487464.91</v>
      </c>
      <c r="Q60" s="4">
        <v>64562.26</v>
      </c>
    </row>
    <row r="61" spans="1:17" x14ac:dyDescent="0.35">
      <c r="A61" s="4" t="s">
        <v>38</v>
      </c>
      <c r="B61" s="5">
        <v>45658</v>
      </c>
      <c r="C61" s="4" t="s">
        <v>17</v>
      </c>
      <c r="D61" s="4" t="s">
        <v>23</v>
      </c>
      <c r="E61" s="4">
        <v>19365.060000000001</v>
      </c>
      <c r="F61" s="4">
        <v>2378</v>
      </c>
      <c r="G61" s="4">
        <v>0</v>
      </c>
      <c r="H61" s="4">
        <v>94.8</v>
      </c>
      <c r="I61" s="4">
        <v>0.2</v>
      </c>
      <c r="J61" s="4">
        <v>0</v>
      </c>
      <c r="K61" s="4">
        <v>3.5</v>
      </c>
      <c r="L61" s="4">
        <v>0</v>
      </c>
      <c r="M61" s="4">
        <v>0</v>
      </c>
      <c r="N61" s="4">
        <v>1</v>
      </c>
      <c r="O61" s="4">
        <v>12</v>
      </c>
      <c r="P61" s="4">
        <v>518049.26</v>
      </c>
      <c r="Q61" s="4">
        <v>108592.49</v>
      </c>
    </row>
    <row r="62" spans="1:17" x14ac:dyDescent="0.35">
      <c r="A62" s="4" t="s">
        <v>38</v>
      </c>
      <c r="B62" s="5">
        <v>45689</v>
      </c>
      <c r="C62" s="4" t="s">
        <v>17</v>
      </c>
      <c r="D62" s="4" t="s">
        <v>23</v>
      </c>
      <c r="E62" s="4">
        <v>59405.68</v>
      </c>
      <c r="F62" s="4">
        <v>2515</v>
      </c>
      <c r="G62" s="4">
        <v>3.9E-2</v>
      </c>
      <c r="H62" s="4">
        <v>76</v>
      </c>
      <c r="I62" s="4">
        <v>5.1100000000000003</v>
      </c>
      <c r="J62" s="4">
        <v>0</v>
      </c>
      <c r="K62" s="4">
        <v>3.7</v>
      </c>
      <c r="L62" s="4">
        <v>0</v>
      </c>
      <c r="M62" s="4">
        <v>0</v>
      </c>
      <c r="N62" s="4">
        <v>1</v>
      </c>
      <c r="O62" s="4">
        <v>12</v>
      </c>
      <c r="P62" s="4">
        <v>500298.48</v>
      </c>
      <c r="Q62" s="4">
        <v>73461.320000000007</v>
      </c>
    </row>
    <row r="63" spans="1:17" x14ac:dyDescent="0.35">
      <c r="A63" s="4" t="s">
        <v>38</v>
      </c>
      <c r="B63" s="5">
        <v>45717</v>
      </c>
      <c r="C63" s="4" t="s">
        <v>17</v>
      </c>
      <c r="D63" s="4" t="s">
        <v>23</v>
      </c>
      <c r="E63" s="4">
        <v>118910.48</v>
      </c>
      <c r="F63" s="4">
        <v>4022</v>
      </c>
      <c r="G63" s="4">
        <v>0.13700000000000001</v>
      </c>
      <c r="H63" s="4">
        <v>87.1</v>
      </c>
      <c r="I63" s="4">
        <v>0.2</v>
      </c>
      <c r="J63" s="4">
        <v>0</v>
      </c>
      <c r="K63" s="4">
        <v>3.1</v>
      </c>
      <c r="L63" s="4">
        <v>0</v>
      </c>
      <c r="M63" s="4">
        <v>0</v>
      </c>
      <c r="N63" s="4">
        <v>1</v>
      </c>
      <c r="O63" s="4">
        <v>11</v>
      </c>
      <c r="P63" s="4">
        <v>617291.15</v>
      </c>
      <c r="Q63" s="4">
        <v>117782</v>
      </c>
    </row>
    <row r="64" spans="1:17" x14ac:dyDescent="0.35">
      <c r="A64" s="4" t="s">
        <v>38</v>
      </c>
      <c r="B64" s="5">
        <v>45748</v>
      </c>
      <c r="C64" s="4" t="s">
        <v>17</v>
      </c>
      <c r="D64" s="4" t="s">
        <v>23</v>
      </c>
      <c r="E64" s="4">
        <v>52952.12</v>
      </c>
      <c r="F64" s="4">
        <v>4377</v>
      </c>
      <c r="G64" s="4">
        <v>9.1999999999999998E-2</v>
      </c>
      <c r="H64" s="4">
        <v>88.6</v>
      </c>
      <c r="I64" s="4">
        <v>13.59</v>
      </c>
      <c r="J64" s="4">
        <v>0</v>
      </c>
      <c r="K64" s="4">
        <v>3.1</v>
      </c>
      <c r="L64" s="4">
        <v>0</v>
      </c>
      <c r="M64" s="4">
        <v>0</v>
      </c>
      <c r="N64" s="4">
        <v>1</v>
      </c>
      <c r="O64" s="4">
        <v>14</v>
      </c>
      <c r="P64" s="4">
        <v>553756.43000000005</v>
      </c>
      <c r="Q64" s="4">
        <v>86166.77</v>
      </c>
    </row>
    <row r="65" spans="1:17" x14ac:dyDescent="0.35">
      <c r="A65" s="4" t="s">
        <v>39</v>
      </c>
      <c r="B65" s="5">
        <v>45658</v>
      </c>
      <c r="C65" s="4" t="s">
        <v>26</v>
      </c>
      <c r="D65" s="4" t="s">
        <v>20</v>
      </c>
      <c r="E65" s="4">
        <v>74907.98</v>
      </c>
      <c r="F65" s="4">
        <v>5306</v>
      </c>
      <c r="G65" s="4">
        <v>6.2E-2</v>
      </c>
      <c r="H65" s="4">
        <v>95.6</v>
      </c>
      <c r="I65" s="4">
        <v>1.02</v>
      </c>
      <c r="J65" s="4">
        <v>0</v>
      </c>
      <c r="K65" s="4">
        <v>3.7</v>
      </c>
      <c r="L65" s="4">
        <v>0</v>
      </c>
      <c r="M65" s="4">
        <v>0</v>
      </c>
      <c r="N65" s="4">
        <v>0</v>
      </c>
      <c r="O65" s="4">
        <v>16</v>
      </c>
      <c r="P65" s="4">
        <v>749559.71</v>
      </c>
      <c r="Q65" s="4">
        <v>144522.53</v>
      </c>
    </row>
    <row r="66" spans="1:17" x14ac:dyDescent="0.35">
      <c r="A66" s="4" t="s">
        <v>39</v>
      </c>
      <c r="B66" s="5">
        <v>45689</v>
      </c>
      <c r="C66" s="4" t="s">
        <v>26</v>
      </c>
      <c r="D66" s="4" t="s">
        <v>20</v>
      </c>
      <c r="E66" s="4">
        <v>37284.660000000003</v>
      </c>
      <c r="F66" s="4">
        <v>3928</v>
      </c>
      <c r="G66" s="4">
        <v>7.3999999999999996E-2</v>
      </c>
      <c r="H66" s="4">
        <v>86.5</v>
      </c>
      <c r="I66" s="4">
        <v>1.64</v>
      </c>
      <c r="J66" s="4">
        <v>0</v>
      </c>
      <c r="K66" s="4">
        <v>3.8</v>
      </c>
      <c r="L66" s="4">
        <v>0</v>
      </c>
      <c r="M66" s="4">
        <v>0</v>
      </c>
      <c r="N66" s="4">
        <v>0</v>
      </c>
      <c r="O66" s="4">
        <v>12</v>
      </c>
      <c r="P66" s="4">
        <v>615966.48</v>
      </c>
      <c r="Q66" s="4">
        <v>91509.38</v>
      </c>
    </row>
    <row r="67" spans="1:17" x14ac:dyDescent="0.35">
      <c r="A67" s="4" t="s">
        <v>39</v>
      </c>
      <c r="B67" s="5">
        <v>45717</v>
      </c>
      <c r="C67" s="4" t="s">
        <v>26</v>
      </c>
      <c r="D67" s="4" t="s">
        <v>20</v>
      </c>
      <c r="E67" s="4">
        <v>50343.19</v>
      </c>
      <c r="F67" s="4">
        <v>3845</v>
      </c>
      <c r="G67" s="4">
        <v>0.113</v>
      </c>
      <c r="H67" s="4">
        <v>88.7</v>
      </c>
      <c r="I67" s="4">
        <v>5.15</v>
      </c>
      <c r="J67" s="4">
        <v>0</v>
      </c>
      <c r="K67" s="4">
        <v>3.3</v>
      </c>
      <c r="L67" s="4">
        <v>0</v>
      </c>
      <c r="M67" s="4">
        <v>0</v>
      </c>
      <c r="N67" s="4">
        <v>0</v>
      </c>
      <c r="O67" s="4">
        <v>9</v>
      </c>
      <c r="P67" s="4">
        <v>572011.19999999995</v>
      </c>
      <c r="Q67" s="4">
        <v>101409.68</v>
      </c>
    </row>
    <row r="68" spans="1:17" x14ac:dyDescent="0.35">
      <c r="A68" s="4" t="s">
        <v>39</v>
      </c>
      <c r="B68" s="5">
        <v>45748</v>
      </c>
      <c r="C68" s="4" t="s">
        <v>26</v>
      </c>
      <c r="D68" s="4" t="s">
        <v>20</v>
      </c>
      <c r="E68" s="4">
        <v>74954.47</v>
      </c>
      <c r="F68" s="4">
        <v>6620</v>
      </c>
      <c r="G68" s="4">
        <v>5.3999999999999999E-2</v>
      </c>
      <c r="H68" s="4">
        <v>91.1</v>
      </c>
      <c r="I68" s="4">
        <v>1.1100000000000001</v>
      </c>
      <c r="J68" s="4">
        <v>0</v>
      </c>
      <c r="K68" s="4">
        <v>3.5</v>
      </c>
      <c r="L68" s="4">
        <v>0</v>
      </c>
      <c r="M68" s="4">
        <v>0</v>
      </c>
      <c r="N68" s="4">
        <v>0</v>
      </c>
      <c r="O68" s="4">
        <v>17</v>
      </c>
      <c r="P68" s="4">
        <v>761860.19</v>
      </c>
      <c r="Q68" s="4">
        <v>133279.38</v>
      </c>
    </row>
    <row r="69" spans="1:17" x14ac:dyDescent="0.35">
      <c r="A69" s="4" t="s">
        <v>40</v>
      </c>
      <c r="B69" s="5">
        <v>45658</v>
      </c>
      <c r="C69" s="4" t="s">
        <v>29</v>
      </c>
      <c r="D69" s="4" t="s">
        <v>20</v>
      </c>
      <c r="E69" s="4">
        <v>70040.31</v>
      </c>
      <c r="F69" s="4">
        <v>9175</v>
      </c>
      <c r="G69" s="4">
        <v>0.107</v>
      </c>
      <c r="H69" s="4">
        <v>95.1</v>
      </c>
      <c r="I69" s="4">
        <v>6.08</v>
      </c>
      <c r="J69" s="4">
        <v>1</v>
      </c>
      <c r="K69" s="4">
        <v>3.4</v>
      </c>
      <c r="L69" s="4">
        <v>0</v>
      </c>
      <c r="M69" s="4">
        <v>0</v>
      </c>
      <c r="N69" s="4">
        <v>0</v>
      </c>
      <c r="O69" s="4">
        <v>23</v>
      </c>
      <c r="P69" s="4">
        <v>784502.68</v>
      </c>
      <c r="Q69" s="4">
        <v>129519.72</v>
      </c>
    </row>
    <row r="70" spans="1:17" x14ac:dyDescent="0.35">
      <c r="A70" s="4" t="s">
        <v>40</v>
      </c>
      <c r="B70" s="5">
        <v>45689</v>
      </c>
      <c r="C70" s="4" t="s">
        <v>29</v>
      </c>
      <c r="D70" s="4" t="s">
        <v>20</v>
      </c>
      <c r="E70" s="4">
        <v>51148.69</v>
      </c>
      <c r="F70" s="4">
        <v>7940</v>
      </c>
      <c r="G70" s="4">
        <v>0.156</v>
      </c>
      <c r="H70" s="4">
        <v>93.3</v>
      </c>
      <c r="I70" s="4">
        <v>10.91</v>
      </c>
      <c r="J70" s="4">
        <v>0</v>
      </c>
      <c r="K70" s="4">
        <v>3.6</v>
      </c>
      <c r="L70" s="4">
        <v>0</v>
      </c>
      <c r="M70" s="4">
        <v>0</v>
      </c>
      <c r="N70" s="4">
        <v>0</v>
      </c>
      <c r="O70" s="4">
        <v>18</v>
      </c>
      <c r="P70" s="4">
        <v>717141.55</v>
      </c>
      <c r="Q70" s="4">
        <v>134013.60999999999</v>
      </c>
    </row>
    <row r="71" spans="1:17" x14ac:dyDescent="0.35">
      <c r="A71" s="4" t="s">
        <v>40</v>
      </c>
      <c r="B71" s="5">
        <v>45717</v>
      </c>
      <c r="C71" s="4" t="s">
        <v>29</v>
      </c>
      <c r="D71" s="4" t="s">
        <v>20</v>
      </c>
      <c r="E71" s="4">
        <v>79346.100000000006</v>
      </c>
      <c r="F71" s="4">
        <v>9628</v>
      </c>
      <c r="G71" s="4">
        <v>0.10199999999999999</v>
      </c>
      <c r="H71" s="4">
        <v>99</v>
      </c>
      <c r="I71" s="4">
        <v>19.010000000000002</v>
      </c>
      <c r="J71" s="4">
        <v>1</v>
      </c>
      <c r="K71" s="4">
        <v>3.2</v>
      </c>
      <c r="L71" s="4">
        <v>0</v>
      </c>
      <c r="M71" s="4">
        <v>0</v>
      </c>
      <c r="N71" s="4">
        <v>0</v>
      </c>
      <c r="O71" s="4">
        <v>20</v>
      </c>
      <c r="P71" s="4">
        <v>685379.08</v>
      </c>
      <c r="Q71" s="4">
        <v>106898.82</v>
      </c>
    </row>
    <row r="72" spans="1:17" x14ac:dyDescent="0.35">
      <c r="A72" s="4" t="s">
        <v>40</v>
      </c>
      <c r="B72" s="5">
        <v>45748</v>
      </c>
      <c r="C72" s="4" t="s">
        <v>29</v>
      </c>
      <c r="D72" s="4" t="s">
        <v>20</v>
      </c>
      <c r="E72" s="4">
        <v>42018.400000000001</v>
      </c>
      <c r="F72" s="4">
        <v>8296</v>
      </c>
      <c r="G72" s="4">
        <v>0.115</v>
      </c>
      <c r="H72" s="4">
        <v>91.8</v>
      </c>
      <c r="I72" s="4">
        <v>0.77</v>
      </c>
      <c r="J72" s="4">
        <v>0</v>
      </c>
      <c r="K72" s="4">
        <v>3.4</v>
      </c>
      <c r="L72" s="4">
        <v>0</v>
      </c>
      <c r="M72" s="4">
        <v>0</v>
      </c>
      <c r="N72" s="4">
        <v>0</v>
      </c>
      <c r="O72" s="4">
        <v>17</v>
      </c>
      <c r="P72" s="4">
        <v>740496.65</v>
      </c>
      <c r="Q72" s="4">
        <v>128020.9</v>
      </c>
    </row>
    <row r="73" spans="1:17" x14ac:dyDescent="0.35">
      <c r="A73" s="4" t="s">
        <v>41</v>
      </c>
      <c r="B73" s="5">
        <v>45658</v>
      </c>
      <c r="C73" s="4" t="s">
        <v>17</v>
      </c>
      <c r="D73" s="4" t="s">
        <v>20</v>
      </c>
      <c r="E73" s="4">
        <v>70937.240000000005</v>
      </c>
      <c r="F73" s="4">
        <v>3595</v>
      </c>
      <c r="G73" s="4">
        <v>0.14099999999999999</v>
      </c>
      <c r="H73" s="4">
        <v>88.9</v>
      </c>
      <c r="I73" s="4">
        <v>2.83</v>
      </c>
      <c r="J73" s="4">
        <v>1</v>
      </c>
      <c r="K73" s="4">
        <v>3.3</v>
      </c>
      <c r="L73" s="4">
        <v>0</v>
      </c>
      <c r="M73" s="4">
        <v>0</v>
      </c>
      <c r="N73" s="4">
        <v>0</v>
      </c>
      <c r="O73" s="4">
        <v>11</v>
      </c>
      <c r="P73" s="4">
        <v>661927.14</v>
      </c>
      <c r="Q73" s="4">
        <v>79218.570000000007</v>
      </c>
    </row>
    <row r="74" spans="1:17" x14ac:dyDescent="0.35">
      <c r="A74" s="4" t="s">
        <v>41</v>
      </c>
      <c r="B74" s="5">
        <v>45689</v>
      </c>
      <c r="C74" s="4" t="s">
        <v>17</v>
      </c>
      <c r="D74" s="4" t="s">
        <v>20</v>
      </c>
      <c r="E74" s="4">
        <v>36813.449999999997</v>
      </c>
      <c r="F74" s="4">
        <v>2834</v>
      </c>
      <c r="G74" s="4">
        <v>0.191</v>
      </c>
      <c r="H74" s="4">
        <v>81.8</v>
      </c>
      <c r="I74" s="4">
        <v>2.33</v>
      </c>
      <c r="J74" s="4">
        <v>0</v>
      </c>
      <c r="K74" s="4">
        <v>3.3</v>
      </c>
      <c r="L74" s="4">
        <v>0</v>
      </c>
      <c r="M74" s="4">
        <v>0</v>
      </c>
      <c r="N74" s="4">
        <v>0</v>
      </c>
      <c r="O74" s="4">
        <v>11</v>
      </c>
      <c r="P74" s="4">
        <v>479050.5</v>
      </c>
      <c r="Q74" s="4">
        <v>53651.11</v>
      </c>
    </row>
    <row r="75" spans="1:17" x14ac:dyDescent="0.35">
      <c r="A75" s="4" t="s">
        <v>41</v>
      </c>
      <c r="B75" s="5">
        <v>45717</v>
      </c>
      <c r="C75" s="4" t="s">
        <v>17</v>
      </c>
      <c r="D75" s="4" t="s">
        <v>20</v>
      </c>
      <c r="E75" s="4">
        <v>60571.82</v>
      </c>
      <c r="F75" s="4">
        <v>3193</v>
      </c>
      <c r="G75" s="4">
        <v>0.19700000000000001</v>
      </c>
      <c r="H75" s="4">
        <v>99</v>
      </c>
      <c r="I75" s="4">
        <v>1.43</v>
      </c>
      <c r="J75" s="4">
        <v>0</v>
      </c>
      <c r="K75" s="4">
        <v>3.2</v>
      </c>
      <c r="L75" s="4">
        <v>0</v>
      </c>
      <c r="M75" s="4">
        <v>0</v>
      </c>
      <c r="N75" s="4">
        <v>0</v>
      </c>
      <c r="O75" s="4">
        <v>7</v>
      </c>
      <c r="P75" s="4">
        <v>605023.87</v>
      </c>
      <c r="Q75" s="4">
        <v>98545.81</v>
      </c>
    </row>
    <row r="76" spans="1:17" x14ac:dyDescent="0.35">
      <c r="A76" s="4" t="s">
        <v>41</v>
      </c>
      <c r="B76" s="5">
        <v>45748</v>
      </c>
      <c r="C76" s="4" t="s">
        <v>17</v>
      </c>
      <c r="D76" s="4" t="s">
        <v>20</v>
      </c>
      <c r="E76" s="4">
        <v>55081.16</v>
      </c>
      <c r="F76" s="4">
        <v>5485</v>
      </c>
      <c r="G76" s="4">
        <v>3.5999999999999997E-2</v>
      </c>
      <c r="H76" s="4">
        <v>88</v>
      </c>
      <c r="I76" s="4">
        <v>3.3650000000000002</v>
      </c>
      <c r="J76" s="4">
        <v>0</v>
      </c>
      <c r="K76" s="4">
        <v>3.5</v>
      </c>
      <c r="L76" s="4">
        <v>0</v>
      </c>
      <c r="M76" s="4">
        <v>0</v>
      </c>
      <c r="N76" s="4">
        <v>0</v>
      </c>
      <c r="O76" s="4">
        <v>12</v>
      </c>
      <c r="P76" s="4">
        <v>674774.09</v>
      </c>
      <c r="Q76" s="4">
        <v>141917.59</v>
      </c>
    </row>
    <row r="77" spans="1:17" x14ac:dyDescent="0.35">
      <c r="A77" s="4" t="s">
        <v>42</v>
      </c>
      <c r="B77" s="5">
        <v>45658</v>
      </c>
      <c r="C77" s="4" t="s">
        <v>17</v>
      </c>
      <c r="D77" s="4" t="s">
        <v>18</v>
      </c>
      <c r="E77" s="4">
        <v>46201.46</v>
      </c>
      <c r="F77" s="4">
        <v>5918</v>
      </c>
      <c r="G77" s="4">
        <v>0.27700000000000002</v>
      </c>
      <c r="H77" s="4">
        <v>78.8</v>
      </c>
      <c r="I77" s="4">
        <v>4.91</v>
      </c>
      <c r="J77" s="4">
        <v>0</v>
      </c>
      <c r="K77" s="4">
        <v>4.5</v>
      </c>
      <c r="L77" s="4">
        <v>0</v>
      </c>
      <c r="M77" s="4">
        <v>1</v>
      </c>
      <c r="N77" s="4">
        <v>0</v>
      </c>
      <c r="O77" s="4">
        <v>13</v>
      </c>
      <c r="P77" s="4">
        <v>616069.41</v>
      </c>
      <c r="Q77" s="4">
        <v>54453.99</v>
      </c>
    </row>
    <row r="78" spans="1:17" x14ac:dyDescent="0.35">
      <c r="A78" s="4" t="s">
        <v>42</v>
      </c>
      <c r="B78" s="5">
        <v>45689</v>
      </c>
      <c r="C78" s="4" t="s">
        <v>17</v>
      </c>
      <c r="D78" s="4" t="s">
        <v>18</v>
      </c>
      <c r="E78" s="4">
        <v>53762.92</v>
      </c>
      <c r="F78" s="4">
        <v>6821</v>
      </c>
      <c r="G78" s="4">
        <v>6.6000000000000003E-2</v>
      </c>
      <c r="H78" s="4">
        <v>94.6</v>
      </c>
      <c r="I78" s="4">
        <v>7.03</v>
      </c>
      <c r="J78" s="4">
        <v>0</v>
      </c>
      <c r="K78" s="4">
        <v>4.4000000000000004</v>
      </c>
      <c r="L78" s="4">
        <v>0</v>
      </c>
      <c r="M78" s="4">
        <v>1</v>
      </c>
      <c r="N78" s="4">
        <v>0</v>
      </c>
      <c r="O78" s="4">
        <v>19</v>
      </c>
      <c r="P78" s="4">
        <v>630829.93999999994</v>
      </c>
      <c r="Q78" s="4">
        <v>117090.02</v>
      </c>
    </row>
    <row r="79" spans="1:17" x14ac:dyDescent="0.35">
      <c r="A79" s="4" t="s">
        <v>42</v>
      </c>
      <c r="B79" s="5">
        <v>45717</v>
      </c>
      <c r="C79" s="4" t="s">
        <v>17</v>
      </c>
      <c r="D79" s="4" t="s">
        <v>18</v>
      </c>
      <c r="E79" s="4">
        <v>70144.78</v>
      </c>
      <c r="F79" s="4">
        <v>6806</v>
      </c>
      <c r="G79" s="4">
        <v>0.17799999999999999</v>
      </c>
      <c r="H79" s="4">
        <v>93.1</v>
      </c>
      <c r="I79" s="4">
        <v>0.28000000000000003</v>
      </c>
      <c r="J79" s="4">
        <v>1</v>
      </c>
      <c r="K79" s="4">
        <v>4.3</v>
      </c>
      <c r="L79" s="4">
        <v>0</v>
      </c>
      <c r="M79" s="4">
        <v>1</v>
      </c>
      <c r="N79" s="4">
        <v>0</v>
      </c>
      <c r="O79" s="4">
        <v>20</v>
      </c>
      <c r="P79" s="4">
        <v>788087.68</v>
      </c>
      <c r="Q79" s="4">
        <v>116803.42</v>
      </c>
    </row>
    <row r="80" spans="1:17" x14ac:dyDescent="0.35">
      <c r="A80" s="4" t="s">
        <v>42</v>
      </c>
      <c r="B80" s="5">
        <v>45748</v>
      </c>
      <c r="C80" s="4" t="s">
        <v>17</v>
      </c>
      <c r="D80" s="4" t="s">
        <v>18</v>
      </c>
      <c r="E80" s="4">
        <v>58749.63</v>
      </c>
      <c r="F80" s="4">
        <v>8252</v>
      </c>
      <c r="G80" s="4">
        <v>0.20300000000000001</v>
      </c>
      <c r="H80" s="4">
        <v>85.2</v>
      </c>
      <c r="I80" s="4">
        <v>3.61</v>
      </c>
      <c r="J80" s="4">
        <v>0</v>
      </c>
      <c r="K80" s="4">
        <v>4.5</v>
      </c>
      <c r="L80" s="4">
        <v>0</v>
      </c>
      <c r="M80" s="4">
        <v>1</v>
      </c>
      <c r="N80" s="4">
        <v>0</v>
      </c>
      <c r="O80" s="4">
        <v>20</v>
      </c>
      <c r="P80" s="4">
        <v>680840.36</v>
      </c>
      <c r="Q80" s="4">
        <v>68007.679999999993</v>
      </c>
    </row>
    <row r="81" spans="1:17" x14ac:dyDescent="0.35">
      <c r="A81" s="4" t="s">
        <v>43</v>
      </c>
      <c r="B81" s="5">
        <v>45658</v>
      </c>
      <c r="C81" s="4" t="s">
        <v>26</v>
      </c>
      <c r="D81" s="4" t="s">
        <v>20</v>
      </c>
      <c r="E81" s="4">
        <v>56973.18</v>
      </c>
      <c r="F81" s="4">
        <v>6662</v>
      </c>
      <c r="G81" s="4">
        <v>0.1</v>
      </c>
      <c r="H81" s="4">
        <v>77.7</v>
      </c>
      <c r="I81" s="4">
        <v>7.52</v>
      </c>
      <c r="J81" s="4">
        <v>1</v>
      </c>
      <c r="K81" s="4">
        <v>3.2</v>
      </c>
      <c r="L81" s="4">
        <v>0</v>
      </c>
      <c r="M81" s="4">
        <v>0</v>
      </c>
      <c r="N81" s="4">
        <v>0</v>
      </c>
      <c r="O81" s="4">
        <v>15</v>
      </c>
      <c r="P81" s="4">
        <v>643657.47</v>
      </c>
      <c r="Q81" s="4">
        <v>87022.45</v>
      </c>
    </row>
    <row r="82" spans="1:17" x14ac:dyDescent="0.35">
      <c r="A82" s="4" t="s">
        <v>43</v>
      </c>
      <c r="B82" s="5">
        <v>45689</v>
      </c>
      <c r="C82" s="4" t="s">
        <v>26</v>
      </c>
      <c r="D82" s="4" t="s">
        <v>20</v>
      </c>
      <c r="E82" s="4">
        <v>54872.82</v>
      </c>
      <c r="F82" s="4">
        <v>5962</v>
      </c>
      <c r="G82" s="4">
        <v>6.4000000000000001E-2</v>
      </c>
      <c r="H82" s="4">
        <v>85.4</v>
      </c>
      <c r="I82" s="4">
        <v>2.58</v>
      </c>
      <c r="J82" s="4">
        <v>0</v>
      </c>
      <c r="K82" s="4">
        <v>2.9</v>
      </c>
      <c r="L82" s="4">
        <v>0</v>
      </c>
      <c r="M82" s="4">
        <v>0</v>
      </c>
      <c r="N82" s="4">
        <v>0</v>
      </c>
      <c r="O82" s="4">
        <v>12</v>
      </c>
      <c r="P82" s="4">
        <v>691112.6</v>
      </c>
      <c r="Q82" s="4">
        <v>109212.83</v>
      </c>
    </row>
    <row r="83" spans="1:17" x14ac:dyDescent="0.35">
      <c r="A83" s="4" t="s">
        <v>43</v>
      </c>
      <c r="B83" s="5">
        <v>45717</v>
      </c>
      <c r="C83" s="4" t="s">
        <v>26</v>
      </c>
      <c r="D83" s="4" t="s">
        <v>20</v>
      </c>
      <c r="E83" s="4">
        <v>80562.81</v>
      </c>
      <c r="F83" s="4">
        <v>7470</v>
      </c>
      <c r="G83" s="4">
        <v>0.17199999999999999</v>
      </c>
      <c r="H83" s="4">
        <v>83.5</v>
      </c>
      <c r="I83" s="4">
        <v>2.29</v>
      </c>
      <c r="J83" s="4">
        <v>0</v>
      </c>
      <c r="K83" s="4">
        <v>3.3</v>
      </c>
      <c r="L83" s="4">
        <v>0</v>
      </c>
      <c r="M83" s="4">
        <v>0</v>
      </c>
      <c r="N83" s="4">
        <v>0</v>
      </c>
      <c r="O83" s="4">
        <v>16</v>
      </c>
      <c r="P83" s="4">
        <v>776922.17</v>
      </c>
      <c r="Q83" s="4">
        <v>150701.93</v>
      </c>
    </row>
    <row r="84" spans="1:17" x14ac:dyDescent="0.35">
      <c r="A84" s="4" t="s">
        <v>43</v>
      </c>
      <c r="B84" s="5">
        <v>45748</v>
      </c>
      <c r="C84" s="4" t="s">
        <v>26</v>
      </c>
      <c r="D84" s="4" t="s">
        <v>20</v>
      </c>
      <c r="E84" s="4">
        <v>77999.899999999994</v>
      </c>
      <c r="F84" s="4">
        <v>5974</v>
      </c>
      <c r="G84" s="4">
        <v>0.252</v>
      </c>
      <c r="H84" s="4">
        <v>81.3</v>
      </c>
      <c r="I84" s="4">
        <v>2.39</v>
      </c>
      <c r="J84" s="4">
        <v>0</v>
      </c>
      <c r="K84" s="4">
        <v>3.2</v>
      </c>
      <c r="L84" s="4">
        <v>0</v>
      </c>
      <c r="M84" s="4">
        <v>0</v>
      </c>
      <c r="N84" s="4">
        <v>0</v>
      </c>
      <c r="O84" s="4">
        <v>14</v>
      </c>
      <c r="P84" s="4">
        <v>636561.34</v>
      </c>
      <c r="Q84" s="4">
        <v>93861.06</v>
      </c>
    </row>
    <row r="85" spans="1:17" x14ac:dyDescent="0.35">
      <c r="A85" s="4" t="s">
        <v>44</v>
      </c>
      <c r="B85" s="5">
        <v>45658</v>
      </c>
      <c r="C85" s="4" t="s">
        <v>29</v>
      </c>
      <c r="D85" s="4" t="s">
        <v>30</v>
      </c>
      <c r="E85" s="4">
        <v>60881.01</v>
      </c>
      <c r="F85" s="4">
        <v>5410</v>
      </c>
      <c r="G85" s="4">
        <v>0.17899999999999999</v>
      </c>
      <c r="H85" s="4">
        <v>83.9</v>
      </c>
      <c r="I85" s="4">
        <v>5.24</v>
      </c>
      <c r="J85" s="4">
        <v>0</v>
      </c>
      <c r="K85" s="4">
        <v>4.5999999999999996</v>
      </c>
      <c r="L85" s="4">
        <v>1</v>
      </c>
      <c r="M85" s="4">
        <v>0</v>
      </c>
      <c r="N85" s="4">
        <v>0</v>
      </c>
      <c r="O85" s="4">
        <v>15</v>
      </c>
      <c r="P85" s="4">
        <v>621369.57999999996</v>
      </c>
      <c r="Q85" s="4">
        <v>85493.64</v>
      </c>
    </row>
    <row r="86" spans="1:17" x14ac:dyDescent="0.35">
      <c r="A86" s="4" t="s">
        <v>44</v>
      </c>
      <c r="B86" s="5">
        <v>45689</v>
      </c>
      <c r="C86" s="4" t="s">
        <v>29</v>
      </c>
      <c r="D86" s="4" t="s">
        <v>30</v>
      </c>
      <c r="E86" s="4">
        <v>60628.38</v>
      </c>
      <c r="F86" s="4">
        <v>4451</v>
      </c>
      <c r="G86" s="4">
        <v>9.5000000000000001E-2</v>
      </c>
      <c r="H86" s="4">
        <v>89.6</v>
      </c>
      <c r="I86" s="4">
        <v>3.17</v>
      </c>
      <c r="J86" s="4">
        <v>0</v>
      </c>
      <c r="K86" s="4">
        <v>4.5999999999999996</v>
      </c>
      <c r="L86" s="4">
        <v>1</v>
      </c>
      <c r="M86" s="4">
        <v>0</v>
      </c>
      <c r="N86" s="4">
        <v>0</v>
      </c>
      <c r="O86" s="4">
        <v>10</v>
      </c>
      <c r="P86" s="4">
        <v>682208.01</v>
      </c>
      <c r="Q86" s="4">
        <v>110318.84</v>
      </c>
    </row>
    <row r="87" spans="1:17" x14ac:dyDescent="0.35">
      <c r="A87" s="4" t="s">
        <v>44</v>
      </c>
      <c r="B87" s="5">
        <v>45717</v>
      </c>
      <c r="C87" s="4" t="s">
        <v>29</v>
      </c>
      <c r="D87" s="4" t="s">
        <v>30</v>
      </c>
      <c r="E87" s="4">
        <v>72731.14</v>
      </c>
      <c r="F87" s="4">
        <v>4644</v>
      </c>
      <c r="G87" s="4">
        <v>8.4000000000000005E-2</v>
      </c>
      <c r="H87" s="4">
        <v>87.1</v>
      </c>
      <c r="I87" s="4">
        <v>2.66</v>
      </c>
      <c r="J87" s="4">
        <v>0</v>
      </c>
      <c r="K87" s="4">
        <v>4.5999999999999996</v>
      </c>
      <c r="L87" s="4">
        <v>1</v>
      </c>
      <c r="M87" s="4">
        <v>0</v>
      </c>
      <c r="N87" s="4">
        <v>0</v>
      </c>
      <c r="O87" s="4">
        <v>15</v>
      </c>
      <c r="P87" s="4">
        <v>727241.86</v>
      </c>
      <c r="Q87" s="4">
        <v>155810.29999999999</v>
      </c>
    </row>
    <row r="88" spans="1:17" x14ac:dyDescent="0.35">
      <c r="A88" s="4" t="s">
        <v>44</v>
      </c>
      <c r="B88" s="5">
        <v>45748</v>
      </c>
      <c r="C88" s="4" t="s">
        <v>29</v>
      </c>
      <c r="D88" s="4" t="s">
        <v>30</v>
      </c>
      <c r="E88" s="4">
        <v>36475.71</v>
      </c>
      <c r="F88" s="4">
        <v>3559</v>
      </c>
      <c r="G88" s="4">
        <v>0.03</v>
      </c>
      <c r="H88" s="4">
        <v>83.6</v>
      </c>
      <c r="I88" s="4">
        <v>1.41</v>
      </c>
      <c r="J88" s="4">
        <v>0</v>
      </c>
      <c r="K88" s="4">
        <v>4.2</v>
      </c>
      <c r="L88" s="4">
        <v>1</v>
      </c>
      <c r="M88" s="4">
        <v>0</v>
      </c>
      <c r="N88" s="4">
        <v>0</v>
      </c>
      <c r="O88" s="4">
        <v>8</v>
      </c>
      <c r="P88" s="4">
        <v>569100.78</v>
      </c>
      <c r="Q88" s="4">
        <v>104808.78</v>
      </c>
    </row>
    <row r="89" spans="1:17" x14ac:dyDescent="0.35">
      <c r="A89" s="4" t="s">
        <v>45</v>
      </c>
      <c r="B89" s="5">
        <v>45658</v>
      </c>
      <c r="C89" s="4" t="s">
        <v>29</v>
      </c>
      <c r="D89" s="4" t="s">
        <v>20</v>
      </c>
      <c r="E89" s="4">
        <v>55388.11</v>
      </c>
      <c r="F89" s="4">
        <v>3091</v>
      </c>
      <c r="G89" s="4">
        <v>0.108</v>
      </c>
      <c r="H89" s="4">
        <v>85.4</v>
      </c>
      <c r="I89" s="4">
        <v>7.34</v>
      </c>
      <c r="J89" s="4">
        <v>0</v>
      </c>
      <c r="K89" s="4">
        <v>4.9000000000000004</v>
      </c>
      <c r="L89" s="4">
        <v>0</v>
      </c>
      <c r="M89" s="4">
        <v>0</v>
      </c>
      <c r="N89" s="4">
        <v>0</v>
      </c>
      <c r="O89" s="4">
        <v>7</v>
      </c>
      <c r="P89" s="4">
        <v>574436.29</v>
      </c>
      <c r="Q89" s="4">
        <v>80271.990000000005</v>
      </c>
    </row>
    <row r="90" spans="1:17" x14ac:dyDescent="0.35">
      <c r="A90" s="4" t="s">
        <v>45</v>
      </c>
      <c r="B90" s="5">
        <v>45689</v>
      </c>
      <c r="C90" s="4" t="s">
        <v>29</v>
      </c>
      <c r="D90" s="4" t="s">
        <v>20</v>
      </c>
      <c r="E90" s="4">
        <v>88443.77</v>
      </c>
      <c r="F90" s="4">
        <v>4004</v>
      </c>
      <c r="G90" s="4">
        <v>0.20599999999999999</v>
      </c>
      <c r="H90" s="4">
        <v>91.9</v>
      </c>
      <c r="I90" s="4">
        <v>5.95</v>
      </c>
      <c r="J90" s="4">
        <v>0</v>
      </c>
      <c r="K90" s="4">
        <v>3.9</v>
      </c>
      <c r="L90" s="4">
        <v>0</v>
      </c>
      <c r="M90" s="4">
        <v>0</v>
      </c>
      <c r="N90" s="4">
        <v>0</v>
      </c>
      <c r="O90" s="4">
        <v>11</v>
      </c>
      <c r="P90" s="4">
        <v>611766.72</v>
      </c>
      <c r="Q90" s="4">
        <v>88275.61</v>
      </c>
    </row>
    <row r="91" spans="1:17" x14ac:dyDescent="0.35">
      <c r="A91" s="4" t="s">
        <v>45</v>
      </c>
      <c r="B91" s="5">
        <v>45717</v>
      </c>
      <c r="C91" s="4" t="s">
        <v>29</v>
      </c>
      <c r="D91" s="4" t="s">
        <v>20</v>
      </c>
      <c r="E91" s="4">
        <v>78231.91</v>
      </c>
      <c r="F91" s="4">
        <v>3788</v>
      </c>
      <c r="G91" s="4">
        <v>5.8999999999999997E-2</v>
      </c>
      <c r="H91" s="4">
        <v>88.5</v>
      </c>
      <c r="I91" s="4">
        <v>15.51</v>
      </c>
      <c r="J91" s="4">
        <v>0</v>
      </c>
      <c r="K91" s="4">
        <v>4.3</v>
      </c>
      <c r="L91" s="4">
        <v>0</v>
      </c>
      <c r="M91" s="4">
        <v>0</v>
      </c>
      <c r="N91" s="4">
        <v>0</v>
      </c>
      <c r="O91" s="4">
        <v>11</v>
      </c>
      <c r="P91" s="4">
        <v>614596.31999999995</v>
      </c>
      <c r="Q91" s="4">
        <v>131199.41</v>
      </c>
    </row>
    <row r="92" spans="1:17" x14ac:dyDescent="0.35">
      <c r="A92" s="4" t="s">
        <v>45</v>
      </c>
      <c r="B92" s="5">
        <v>45748</v>
      </c>
      <c r="C92" s="4" t="s">
        <v>29</v>
      </c>
      <c r="D92" s="4" t="s">
        <v>20</v>
      </c>
      <c r="E92" s="4">
        <v>18996.32</v>
      </c>
      <c r="F92" s="4">
        <v>1260</v>
      </c>
      <c r="G92" s="4">
        <v>0.14499999999999999</v>
      </c>
      <c r="H92" s="4">
        <v>86.4</v>
      </c>
      <c r="I92" s="4">
        <v>4.3099999999999996</v>
      </c>
      <c r="J92" s="4">
        <v>0</v>
      </c>
      <c r="K92" s="4">
        <v>4.5999999999999996</v>
      </c>
      <c r="L92" s="4">
        <v>0</v>
      </c>
      <c r="M92" s="4">
        <v>0</v>
      </c>
      <c r="N92" s="4">
        <v>0</v>
      </c>
      <c r="O92" s="4">
        <v>9</v>
      </c>
      <c r="P92" s="4">
        <v>450711.92</v>
      </c>
      <c r="Q92" s="4">
        <v>90043.76</v>
      </c>
    </row>
    <row r="93" spans="1:17" x14ac:dyDescent="0.35">
      <c r="A93" s="4" t="s">
        <v>46</v>
      </c>
      <c r="B93" s="5">
        <v>45658</v>
      </c>
      <c r="C93" s="4" t="s">
        <v>26</v>
      </c>
      <c r="D93" s="4" t="s">
        <v>30</v>
      </c>
      <c r="E93" s="4">
        <v>50517.94</v>
      </c>
      <c r="F93" s="4">
        <v>7024</v>
      </c>
      <c r="G93" s="4">
        <v>2.9000000000000001E-2</v>
      </c>
      <c r="H93" s="4">
        <v>79.2</v>
      </c>
      <c r="I93" s="4">
        <v>6.61</v>
      </c>
      <c r="J93" s="4">
        <v>1</v>
      </c>
      <c r="K93" s="4">
        <v>4.0999999999999996</v>
      </c>
      <c r="L93" s="4">
        <v>1</v>
      </c>
      <c r="M93" s="4">
        <v>0</v>
      </c>
      <c r="N93" s="4">
        <v>0</v>
      </c>
      <c r="O93" s="4">
        <v>18</v>
      </c>
      <c r="P93" s="4">
        <v>711213.46</v>
      </c>
      <c r="Q93" s="4">
        <v>105863.26</v>
      </c>
    </row>
    <row r="94" spans="1:17" x14ac:dyDescent="0.35">
      <c r="A94" s="4" t="s">
        <v>46</v>
      </c>
      <c r="B94" s="5">
        <v>45689</v>
      </c>
      <c r="C94" s="4" t="s">
        <v>26</v>
      </c>
      <c r="D94" s="4" t="s">
        <v>30</v>
      </c>
      <c r="E94" s="4">
        <v>141540.29</v>
      </c>
      <c r="F94" s="4">
        <v>5400</v>
      </c>
      <c r="G94" s="4">
        <v>1.2999999999999999E-2</v>
      </c>
      <c r="H94" s="4">
        <v>87</v>
      </c>
      <c r="I94" s="4">
        <v>4.26</v>
      </c>
      <c r="J94" s="4">
        <v>0</v>
      </c>
      <c r="K94" s="4">
        <v>4.5</v>
      </c>
      <c r="L94" s="4">
        <v>1</v>
      </c>
      <c r="M94" s="4">
        <v>0</v>
      </c>
      <c r="N94" s="4">
        <v>0</v>
      </c>
      <c r="O94" s="4">
        <v>12</v>
      </c>
      <c r="P94" s="4">
        <v>627171.9</v>
      </c>
      <c r="Q94" s="4">
        <v>105772.75</v>
      </c>
    </row>
    <row r="95" spans="1:17" x14ac:dyDescent="0.35">
      <c r="A95" s="4" t="s">
        <v>46</v>
      </c>
      <c r="B95" s="5">
        <v>45717</v>
      </c>
      <c r="C95" s="4" t="s">
        <v>26</v>
      </c>
      <c r="D95" s="4" t="s">
        <v>30</v>
      </c>
      <c r="E95" s="4">
        <v>82116.19</v>
      </c>
      <c r="F95" s="4">
        <v>5988</v>
      </c>
      <c r="G95" s="4">
        <v>0.04</v>
      </c>
      <c r="H95" s="4">
        <v>91.8</v>
      </c>
      <c r="I95" s="4">
        <v>5.75</v>
      </c>
      <c r="J95" s="4">
        <v>0</v>
      </c>
      <c r="K95" s="4">
        <v>4.7</v>
      </c>
      <c r="L95" s="4">
        <v>1</v>
      </c>
      <c r="M95" s="4">
        <v>0</v>
      </c>
      <c r="N95" s="4">
        <v>0</v>
      </c>
      <c r="O95" s="4">
        <v>17</v>
      </c>
      <c r="P95" s="4">
        <v>739852.58</v>
      </c>
      <c r="Q95" s="4">
        <v>129386.43</v>
      </c>
    </row>
    <row r="96" spans="1:17" x14ac:dyDescent="0.35">
      <c r="A96" s="4" t="s">
        <v>46</v>
      </c>
      <c r="B96" s="5">
        <v>45748</v>
      </c>
      <c r="C96" s="4" t="s">
        <v>26</v>
      </c>
      <c r="D96" s="4" t="s">
        <v>30</v>
      </c>
      <c r="E96" s="4">
        <v>31207.51</v>
      </c>
      <c r="F96" s="4">
        <v>3701</v>
      </c>
      <c r="G96" s="4">
        <v>4.2999999999999997E-2</v>
      </c>
      <c r="H96" s="4">
        <v>84.7</v>
      </c>
      <c r="I96" s="4">
        <v>0.33</v>
      </c>
      <c r="J96" s="4">
        <v>0</v>
      </c>
      <c r="K96" s="4">
        <v>4.3</v>
      </c>
      <c r="L96" s="4">
        <v>1</v>
      </c>
      <c r="M96" s="4">
        <v>0</v>
      </c>
      <c r="N96" s="4">
        <v>0</v>
      </c>
      <c r="O96" s="4">
        <v>11</v>
      </c>
      <c r="P96" s="4">
        <v>586307.22</v>
      </c>
      <c r="Q96" s="4">
        <v>73927.850000000006</v>
      </c>
    </row>
    <row r="97" spans="1:17" x14ac:dyDescent="0.35">
      <c r="A97" s="4" t="s">
        <v>47</v>
      </c>
      <c r="B97" s="5">
        <v>45658</v>
      </c>
      <c r="C97" s="4" t="s">
        <v>29</v>
      </c>
      <c r="D97" s="4" t="s">
        <v>18</v>
      </c>
      <c r="E97" s="4">
        <v>38966.589999999997</v>
      </c>
      <c r="F97" s="4">
        <v>4509</v>
      </c>
      <c r="G97" s="4">
        <v>0.19400000000000001</v>
      </c>
      <c r="H97" s="4">
        <v>91.1</v>
      </c>
      <c r="I97" s="4">
        <v>2.92</v>
      </c>
      <c r="J97" s="4">
        <v>0</v>
      </c>
      <c r="K97" s="4">
        <v>4.5999999999999996</v>
      </c>
      <c r="L97" s="4">
        <v>0</v>
      </c>
      <c r="M97" s="4">
        <v>1</v>
      </c>
      <c r="N97" s="4">
        <v>0</v>
      </c>
      <c r="O97" s="4">
        <v>14</v>
      </c>
      <c r="P97" s="4">
        <v>585937.48</v>
      </c>
      <c r="Q97" s="4">
        <v>82624.2</v>
      </c>
    </row>
    <row r="98" spans="1:17" x14ac:dyDescent="0.35">
      <c r="A98" s="4" t="s">
        <v>47</v>
      </c>
      <c r="B98" s="5">
        <v>45689</v>
      </c>
      <c r="C98" s="4" t="s">
        <v>29</v>
      </c>
      <c r="D98" s="4" t="s">
        <v>18</v>
      </c>
      <c r="E98" s="4">
        <v>67439.3</v>
      </c>
      <c r="F98" s="4">
        <v>6477</v>
      </c>
      <c r="G98" s="4">
        <v>0</v>
      </c>
      <c r="H98" s="4">
        <v>90.9</v>
      </c>
      <c r="I98" s="4">
        <v>1.64</v>
      </c>
      <c r="J98" s="4">
        <v>0</v>
      </c>
      <c r="K98" s="4">
        <v>4.5</v>
      </c>
      <c r="L98" s="4">
        <v>0</v>
      </c>
      <c r="M98" s="4">
        <v>1</v>
      </c>
      <c r="N98" s="4">
        <v>0</v>
      </c>
      <c r="O98" s="4">
        <v>16</v>
      </c>
      <c r="P98" s="4">
        <v>753473.55</v>
      </c>
      <c r="Q98" s="4">
        <v>151527.22</v>
      </c>
    </row>
    <row r="99" spans="1:17" x14ac:dyDescent="0.35">
      <c r="A99" s="4" t="s">
        <v>47</v>
      </c>
      <c r="B99" s="5">
        <v>45717</v>
      </c>
      <c r="C99" s="4" t="s">
        <v>29</v>
      </c>
      <c r="D99" s="4" t="s">
        <v>18</v>
      </c>
      <c r="E99" s="4">
        <v>86421.88</v>
      </c>
      <c r="F99" s="4">
        <v>7970</v>
      </c>
      <c r="G99" s="4">
        <v>7.2999999999999995E-2</v>
      </c>
      <c r="H99" s="4">
        <v>91.3</v>
      </c>
      <c r="I99" s="4">
        <v>0.8</v>
      </c>
      <c r="J99" s="4">
        <v>0</v>
      </c>
      <c r="K99" s="4">
        <v>5</v>
      </c>
      <c r="L99" s="4">
        <v>0</v>
      </c>
      <c r="M99" s="4">
        <v>1</v>
      </c>
      <c r="N99" s="4">
        <v>0</v>
      </c>
      <c r="O99" s="4">
        <v>17</v>
      </c>
      <c r="P99" s="4">
        <v>838250.32</v>
      </c>
      <c r="Q99" s="4">
        <v>122939.34</v>
      </c>
    </row>
    <row r="100" spans="1:17" x14ac:dyDescent="0.35">
      <c r="A100" s="4" t="s">
        <v>47</v>
      </c>
      <c r="B100" s="5">
        <v>45748</v>
      </c>
      <c r="C100" s="4" t="s">
        <v>29</v>
      </c>
      <c r="D100" s="4" t="s">
        <v>18</v>
      </c>
      <c r="E100" s="4">
        <v>9534.65</v>
      </c>
      <c r="F100" s="4">
        <v>6057</v>
      </c>
      <c r="G100" s="4">
        <v>7.3999999999999996E-2</v>
      </c>
      <c r="H100" s="4">
        <v>94.1</v>
      </c>
      <c r="I100" s="4">
        <v>5.79</v>
      </c>
      <c r="J100" s="4">
        <v>0</v>
      </c>
      <c r="K100" s="4">
        <v>4.5</v>
      </c>
      <c r="L100" s="4">
        <v>0</v>
      </c>
      <c r="M100" s="4">
        <v>1</v>
      </c>
      <c r="N100" s="4">
        <v>0</v>
      </c>
      <c r="O100" s="4">
        <v>15</v>
      </c>
      <c r="P100" s="4">
        <v>607898.12</v>
      </c>
      <c r="Q100" s="4">
        <v>135404.85</v>
      </c>
    </row>
    <row r="101" spans="1:17" x14ac:dyDescent="0.35">
      <c r="A101" s="4" t="s">
        <v>48</v>
      </c>
      <c r="B101" s="5">
        <v>45658</v>
      </c>
      <c r="C101" s="4" t="s">
        <v>29</v>
      </c>
      <c r="D101" s="4" t="s">
        <v>30</v>
      </c>
      <c r="E101" s="4">
        <v>61132.07</v>
      </c>
      <c r="F101" s="4">
        <v>6394</v>
      </c>
      <c r="G101" s="4">
        <v>0.16300000000000001</v>
      </c>
      <c r="H101" s="4">
        <v>91</v>
      </c>
      <c r="I101" s="4">
        <v>19.600000000000001</v>
      </c>
      <c r="J101" s="4">
        <v>0</v>
      </c>
      <c r="K101" s="4">
        <v>4.4000000000000004</v>
      </c>
      <c r="L101" s="4">
        <v>1</v>
      </c>
      <c r="M101" s="4">
        <v>0</v>
      </c>
      <c r="N101" s="4">
        <v>0</v>
      </c>
      <c r="O101" s="4">
        <v>19</v>
      </c>
      <c r="P101" s="4">
        <v>691113.62</v>
      </c>
      <c r="Q101" s="4">
        <v>135145.44</v>
      </c>
    </row>
    <row r="102" spans="1:17" x14ac:dyDescent="0.35">
      <c r="A102" s="4" t="s">
        <v>48</v>
      </c>
      <c r="B102" s="5">
        <v>45689</v>
      </c>
      <c r="C102" s="4" t="s">
        <v>29</v>
      </c>
      <c r="D102" s="4" t="s">
        <v>30</v>
      </c>
      <c r="E102" s="4">
        <v>78839.39</v>
      </c>
      <c r="F102" s="4">
        <v>5150</v>
      </c>
      <c r="G102" s="4">
        <v>0.17100000000000001</v>
      </c>
      <c r="H102" s="4">
        <v>85.8</v>
      </c>
      <c r="I102" s="4">
        <v>7.57</v>
      </c>
      <c r="J102" s="4">
        <v>0</v>
      </c>
      <c r="K102" s="4">
        <v>4.3</v>
      </c>
      <c r="L102" s="4">
        <v>1</v>
      </c>
      <c r="M102" s="4">
        <v>0</v>
      </c>
      <c r="N102" s="4">
        <v>0</v>
      </c>
      <c r="O102" s="4">
        <v>13</v>
      </c>
      <c r="P102" s="4">
        <v>735509.4</v>
      </c>
      <c r="Q102" s="4">
        <v>83895.96</v>
      </c>
    </row>
    <row r="103" spans="1:17" x14ac:dyDescent="0.35">
      <c r="A103" s="4" t="s">
        <v>48</v>
      </c>
      <c r="B103" s="5">
        <v>45717</v>
      </c>
      <c r="C103" s="4" t="s">
        <v>29</v>
      </c>
      <c r="D103" s="4" t="s">
        <v>30</v>
      </c>
      <c r="E103" s="4">
        <v>38752.800000000003</v>
      </c>
      <c r="F103" s="4">
        <v>4712</v>
      </c>
      <c r="G103" s="4">
        <v>7.4999999999999997E-2</v>
      </c>
      <c r="H103" s="4">
        <v>89.7</v>
      </c>
      <c r="I103" s="4">
        <v>3.3650000000000002</v>
      </c>
      <c r="J103" s="4">
        <v>0</v>
      </c>
      <c r="K103" s="4">
        <v>4.3</v>
      </c>
      <c r="L103" s="4">
        <v>1</v>
      </c>
      <c r="M103" s="4">
        <v>0</v>
      </c>
      <c r="N103" s="4">
        <v>0</v>
      </c>
      <c r="O103" s="4">
        <v>15</v>
      </c>
      <c r="P103" s="4">
        <v>605775.32999999996</v>
      </c>
      <c r="Q103" s="4">
        <v>107194.6</v>
      </c>
    </row>
    <row r="104" spans="1:17" x14ac:dyDescent="0.35">
      <c r="A104" s="4" t="s">
        <v>48</v>
      </c>
      <c r="B104" s="5">
        <v>45748</v>
      </c>
      <c r="C104" s="4" t="s">
        <v>29</v>
      </c>
      <c r="D104" s="4" t="s">
        <v>30</v>
      </c>
      <c r="E104" s="4">
        <v>55101.1</v>
      </c>
      <c r="F104" s="4">
        <v>5281</v>
      </c>
      <c r="G104" s="4">
        <v>0.189</v>
      </c>
      <c r="H104" s="4">
        <v>91</v>
      </c>
      <c r="I104" s="4">
        <v>2.7</v>
      </c>
      <c r="J104" s="4">
        <v>0</v>
      </c>
      <c r="K104" s="4">
        <v>4.4000000000000004</v>
      </c>
      <c r="L104" s="4">
        <v>1</v>
      </c>
      <c r="M104" s="4">
        <v>0</v>
      </c>
      <c r="N104" s="4">
        <v>0</v>
      </c>
      <c r="O104" s="4">
        <v>11</v>
      </c>
      <c r="P104" s="4">
        <v>675177.68</v>
      </c>
      <c r="Q104" s="4">
        <v>105628.68</v>
      </c>
    </row>
    <row r="105" spans="1:17" x14ac:dyDescent="0.35">
      <c r="A105" s="4" t="s">
        <v>49</v>
      </c>
      <c r="B105" s="5">
        <v>45658</v>
      </c>
      <c r="C105" s="4" t="s">
        <v>17</v>
      </c>
      <c r="D105" s="4" t="s">
        <v>30</v>
      </c>
      <c r="E105" s="4">
        <v>53084.76</v>
      </c>
      <c r="F105" s="4">
        <v>3642</v>
      </c>
      <c r="G105" s="4">
        <v>0.15</v>
      </c>
      <c r="H105" s="4">
        <v>91.4</v>
      </c>
      <c r="I105" s="4">
        <v>0.2</v>
      </c>
      <c r="J105" s="4">
        <v>0</v>
      </c>
      <c r="K105" s="4">
        <v>4.4000000000000004</v>
      </c>
      <c r="L105" s="4">
        <v>1</v>
      </c>
      <c r="M105" s="4">
        <v>0</v>
      </c>
      <c r="N105" s="4">
        <v>0</v>
      </c>
      <c r="O105" s="4">
        <v>12</v>
      </c>
      <c r="P105" s="4">
        <v>635181.35</v>
      </c>
      <c r="Q105" s="4">
        <v>83341.25</v>
      </c>
    </row>
    <row r="106" spans="1:17" x14ac:dyDescent="0.35">
      <c r="A106" s="4" t="s">
        <v>49</v>
      </c>
      <c r="B106" s="5">
        <v>45689</v>
      </c>
      <c r="C106" s="4" t="s">
        <v>17</v>
      </c>
      <c r="D106" s="4" t="s">
        <v>30</v>
      </c>
      <c r="E106" s="4">
        <v>63101.59</v>
      </c>
      <c r="F106" s="4">
        <v>4373</v>
      </c>
      <c r="G106" s="4">
        <v>0.17299999999999999</v>
      </c>
      <c r="H106" s="4">
        <v>90.4</v>
      </c>
      <c r="I106" s="4">
        <v>7.87</v>
      </c>
      <c r="J106" s="4">
        <v>0</v>
      </c>
      <c r="K106" s="4">
        <v>4.7</v>
      </c>
      <c r="L106" s="4">
        <v>1</v>
      </c>
      <c r="M106" s="4">
        <v>0</v>
      </c>
      <c r="N106" s="4">
        <v>0</v>
      </c>
      <c r="O106" s="4">
        <v>14</v>
      </c>
      <c r="P106" s="4">
        <v>586626.93999999994</v>
      </c>
      <c r="Q106" s="4">
        <v>86498.55</v>
      </c>
    </row>
    <row r="107" spans="1:17" x14ac:dyDescent="0.35">
      <c r="A107" s="4" t="s">
        <v>49</v>
      </c>
      <c r="B107" s="5">
        <v>45717</v>
      </c>
      <c r="C107" s="4" t="s">
        <v>17</v>
      </c>
      <c r="D107" s="4" t="s">
        <v>30</v>
      </c>
      <c r="E107" s="4">
        <v>90084.4</v>
      </c>
      <c r="F107" s="4">
        <v>6832</v>
      </c>
      <c r="G107" s="4">
        <v>0.185</v>
      </c>
      <c r="H107" s="4">
        <v>80.5</v>
      </c>
      <c r="I107" s="4">
        <v>0.77</v>
      </c>
      <c r="J107" s="4">
        <v>1</v>
      </c>
      <c r="K107" s="4">
        <v>4.4000000000000004</v>
      </c>
      <c r="L107" s="4">
        <v>1</v>
      </c>
      <c r="M107" s="4">
        <v>0</v>
      </c>
      <c r="N107" s="4">
        <v>0</v>
      </c>
      <c r="O107" s="4">
        <v>14</v>
      </c>
      <c r="P107" s="4">
        <v>740102.64</v>
      </c>
      <c r="Q107" s="4">
        <v>114299.07</v>
      </c>
    </row>
    <row r="108" spans="1:17" x14ac:dyDescent="0.35">
      <c r="A108" s="4" t="s">
        <v>49</v>
      </c>
      <c r="B108" s="5">
        <v>45748</v>
      </c>
      <c r="C108" s="4" t="s">
        <v>17</v>
      </c>
      <c r="D108" s="4" t="s">
        <v>30</v>
      </c>
      <c r="E108" s="4">
        <v>32266.639999999999</v>
      </c>
      <c r="F108" s="4">
        <v>2414</v>
      </c>
      <c r="G108" s="4">
        <v>0.08</v>
      </c>
      <c r="H108" s="4">
        <v>92.1</v>
      </c>
      <c r="I108" s="4">
        <v>1.48</v>
      </c>
      <c r="J108" s="4">
        <v>0</v>
      </c>
      <c r="K108" s="4">
        <v>5</v>
      </c>
      <c r="L108" s="4">
        <v>1</v>
      </c>
      <c r="M108" s="4">
        <v>0</v>
      </c>
      <c r="N108" s="4">
        <v>0</v>
      </c>
      <c r="O108" s="4">
        <v>7</v>
      </c>
      <c r="P108" s="4">
        <v>625514.04</v>
      </c>
      <c r="Q108" s="4">
        <v>120685.08</v>
      </c>
    </row>
    <row r="109" spans="1:17" x14ac:dyDescent="0.35">
      <c r="A109" s="4" t="s">
        <v>50</v>
      </c>
      <c r="B109" s="5">
        <v>45658</v>
      </c>
      <c r="C109" s="4" t="s">
        <v>29</v>
      </c>
      <c r="D109" s="4" t="s">
        <v>20</v>
      </c>
      <c r="E109" s="4">
        <v>57919.07</v>
      </c>
      <c r="F109" s="4">
        <v>7374</v>
      </c>
      <c r="G109" s="4">
        <v>0.10299999999999999</v>
      </c>
      <c r="H109" s="4">
        <v>82.3</v>
      </c>
      <c r="I109" s="4">
        <v>2.87</v>
      </c>
      <c r="J109" s="4">
        <v>0</v>
      </c>
      <c r="K109" s="4">
        <v>2.9</v>
      </c>
      <c r="L109" s="4">
        <v>0</v>
      </c>
      <c r="M109" s="4">
        <v>0</v>
      </c>
      <c r="N109" s="4">
        <v>0</v>
      </c>
      <c r="O109" s="4">
        <v>21</v>
      </c>
      <c r="P109" s="4">
        <v>727227.2</v>
      </c>
      <c r="Q109" s="4">
        <v>121292.01</v>
      </c>
    </row>
    <row r="110" spans="1:17" x14ac:dyDescent="0.35">
      <c r="A110" s="4" t="s">
        <v>50</v>
      </c>
      <c r="B110" s="5">
        <v>45689</v>
      </c>
      <c r="C110" s="4" t="s">
        <v>29</v>
      </c>
      <c r="D110" s="4" t="s">
        <v>20</v>
      </c>
      <c r="E110" s="4">
        <v>74679.350000000006</v>
      </c>
      <c r="F110" s="4">
        <v>8739</v>
      </c>
      <c r="G110" s="4">
        <v>5.6000000000000001E-2</v>
      </c>
      <c r="H110" s="4">
        <v>91.8</v>
      </c>
      <c r="I110" s="4">
        <v>2.83</v>
      </c>
      <c r="J110" s="4">
        <v>0</v>
      </c>
      <c r="K110" s="4">
        <v>3</v>
      </c>
      <c r="L110" s="4">
        <v>0</v>
      </c>
      <c r="M110" s="4">
        <v>0</v>
      </c>
      <c r="N110" s="4">
        <v>0</v>
      </c>
      <c r="O110" s="4">
        <v>21</v>
      </c>
      <c r="P110" s="4">
        <v>783797.89</v>
      </c>
      <c r="Q110" s="4">
        <v>157620.70000000001</v>
      </c>
    </row>
    <row r="111" spans="1:17" x14ac:dyDescent="0.35">
      <c r="A111" s="4" t="s">
        <v>50</v>
      </c>
      <c r="B111" s="5">
        <v>45717</v>
      </c>
      <c r="C111" s="4" t="s">
        <v>29</v>
      </c>
      <c r="D111" s="4" t="s">
        <v>20</v>
      </c>
      <c r="E111" s="4">
        <v>64294.23</v>
      </c>
      <c r="F111" s="4">
        <v>6992</v>
      </c>
      <c r="G111" s="4">
        <v>0.13300000000000001</v>
      </c>
      <c r="H111" s="4">
        <v>94.1</v>
      </c>
      <c r="I111" s="4">
        <v>0.25</v>
      </c>
      <c r="J111" s="4">
        <v>0</v>
      </c>
      <c r="K111" s="4">
        <v>3</v>
      </c>
      <c r="L111" s="4">
        <v>0</v>
      </c>
      <c r="M111" s="4">
        <v>0</v>
      </c>
      <c r="N111" s="4">
        <v>0</v>
      </c>
      <c r="O111" s="4">
        <v>14</v>
      </c>
      <c r="P111" s="4">
        <v>795153.84</v>
      </c>
      <c r="Q111" s="4">
        <v>143194.21</v>
      </c>
    </row>
    <row r="112" spans="1:17" x14ac:dyDescent="0.35">
      <c r="A112" s="4" t="s">
        <v>50</v>
      </c>
      <c r="B112" s="5">
        <v>45748</v>
      </c>
      <c r="C112" s="4" t="s">
        <v>29</v>
      </c>
      <c r="D112" s="4" t="s">
        <v>20</v>
      </c>
      <c r="E112" s="4">
        <v>31042.03</v>
      </c>
      <c r="F112" s="4">
        <v>7107</v>
      </c>
      <c r="G112" s="4">
        <v>5.0999999999999997E-2</v>
      </c>
      <c r="H112" s="4">
        <v>87</v>
      </c>
      <c r="I112" s="4">
        <v>13.33</v>
      </c>
      <c r="J112" s="4">
        <v>0</v>
      </c>
      <c r="K112" s="4">
        <v>3.2</v>
      </c>
      <c r="L112" s="4">
        <v>0</v>
      </c>
      <c r="M112" s="4">
        <v>0</v>
      </c>
      <c r="N112" s="4">
        <v>0</v>
      </c>
      <c r="O112" s="4">
        <v>15</v>
      </c>
      <c r="P112" s="4">
        <v>665594.93999999994</v>
      </c>
      <c r="Q112" s="4">
        <v>127597.34</v>
      </c>
    </row>
    <row r="113" spans="1:17" x14ac:dyDescent="0.35">
      <c r="A113" s="4" t="s">
        <v>51</v>
      </c>
      <c r="B113" s="5">
        <v>45658</v>
      </c>
      <c r="C113" s="4" t="s">
        <v>17</v>
      </c>
      <c r="D113" s="4" t="s">
        <v>30</v>
      </c>
      <c r="E113" s="4">
        <v>75265.02</v>
      </c>
      <c r="F113" s="4">
        <v>6975</v>
      </c>
      <c r="G113" s="4">
        <v>0.157</v>
      </c>
      <c r="H113" s="4">
        <v>73.8</v>
      </c>
      <c r="I113" s="4">
        <v>6.35</v>
      </c>
      <c r="J113" s="4">
        <v>1</v>
      </c>
      <c r="K113" s="4">
        <v>3.8</v>
      </c>
      <c r="L113" s="4">
        <v>1</v>
      </c>
      <c r="M113" s="4">
        <v>0</v>
      </c>
      <c r="N113" s="4">
        <v>0</v>
      </c>
      <c r="O113" s="4">
        <v>20</v>
      </c>
      <c r="P113" s="4">
        <v>709478.39</v>
      </c>
      <c r="Q113" s="4">
        <v>71294.27</v>
      </c>
    </row>
    <row r="114" spans="1:17" x14ac:dyDescent="0.35">
      <c r="A114" s="4" t="s">
        <v>51</v>
      </c>
      <c r="B114" s="5">
        <v>45689</v>
      </c>
      <c r="C114" s="4" t="s">
        <v>17</v>
      </c>
      <c r="D114" s="4" t="s">
        <v>30</v>
      </c>
      <c r="E114" s="4">
        <v>69411.7</v>
      </c>
      <c r="F114" s="4">
        <v>5493</v>
      </c>
      <c r="G114" s="4">
        <v>0.29199999999999998</v>
      </c>
      <c r="H114" s="4">
        <v>86.5</v>
      </c>
      <c r="I114" s="4">
        <v>6.69</v>
      </c>
      <c r="J114" s="4">
        <v>0</v>
      </c>
      <c r="K114" s="4">
        <v>3.8</v>
      </c>
      <c r="L114" s="4">
        <v>1</v>
      </c>
      <c r="M114" s="4">
        <v>0</v>
      </c>
      <c r="N114" s="4">
        <v>0</v>
      </c>
      <c r="O114" s="4">
        <v>13</v>
      </c>
      <c r="P114" s="4">
        <v>664162.49</v>
      </c>
      <c r="Q114" s="4">
        <v>98291.06</v>
      </c>
    </row>
    <row r="115" spans="1:17" x14ac:dyDescent="0.35">
      <c r="A115" s="4" t="s">
        <v>51</v>
      </c>
      <c r="B115" s="5">
        <v>45717</v>
      </c>
      <c r="C115" s="4" t="s">
        <v>17</v>
      </c>
      <c r="D115" s="4" t="s">
        <v>30</v>
      </c>
      <c r="E115" s="4">
        <v>51056.15</v>
      </c>
      <c r="F115" s="4">
        <v>5686</v>
      </c>
      <c r="G115" s="4">
        <v>8.8999999999999996E-2</v>
      </c>
      <c r="H115" s="4">
        <v>89.9</v>
      </c>
      <c r="I115" s="4">
        <v>1.28</v>
      </c>
      <c r="J115" s="4">
        <v>0</v>
      </c>
      <c r="K115" s="4">
        <v>4.2</v>
      </c>
      <c r="L115" s="4">
        <v>1</v>
      </c>
      <c r="M115" s="4">
        <v>0</v>
      </c>
      <c r="N115" s="4">
        <v>0</v>
      </c>
      <c r="O115" s="4">
        <v>13</v>
      </c>
      <c r="P115" s="4">
        <v>633494.21</v>
      </c>
      <c r="Q115" s="4">
        <v>105739.47</v>
      </c>
    </row>
    <row r="116" spans="1:17" x14ac:dyDescent="0.35">
      <c r="A116" s="4" t="s">
        <v>51</v>
      </c>
      <c r="B116" s="5">
        <v>45748</v>
      </c>
      <c r="C116" s="4" t="s">
        <v>17</v>
      </c>
      <c r="D116" s="4" t="s">
        <v>30</v>
      </c>
      <c r="E116" s="4">
        <v>52758.01</v>
      </c>
      <c r="F116" s="4">
        <v>4063</v>
      </c>
      <c r="G116" s="4">
        <v>5.7000000000000002E-2</v>
      </c>
      <c r="H116" s="4">
        <v>91.7</v>
      </c>
      <c r="I116" s="4">
        <v>0.92</v>
      </c>
      <c r="J116" s="4">
        <v>0</v>
      </c>
      <c r="K116" s="4">
        <v>3.5</v>
      </c>
      <c r="L116" s="4">
        <v>1</v>
      </c>
      <c r="M116" s="4">
        <v>0</v>
      </c>
      <c r="N116" s="4">
        <v>0</v>
      </c>
      <c r="O116" s="4">
        <v>12</v>
      </c>
      <c r="P116" s="4">
        <v>713611.16</v>
      </c>
      <c r="Q116" s="4">
        <v>129717.18</v>
      </c>
    </row>
    <row r="117" spans="1:17" x14ac:dyDescent="0.35">
      <c r="A117" s="4" t="s">
        <v>52</v>
      </c>
      <c r="B117" s="5">
        <v>45658</v>
      </c>
      <c r="C117" s="4" t="s">
        <v>29</v>
      </c>
      <c r="D117" s="4" t="s">
        <v>30</v>
      </c>
      <c r="E117" s="4">
        <v>61426.04</v>
      </c>
      <c r="F117" s="4">
        <v>8966</v>
      </c>
      <c r="G117" s="4">
        <v>0.17299999999999999</v>
      </c>
      <c r="H117" s="4">
        <v>76.400000000000006</v>
      </c>
      <c r="I117" s="4">
        <v>1.05</v>
      </c>
      <c r="J117" s="4">
        <v>0</v>
      </c>
      <c r="K117" s="4">
        <v>3.1</v>
      </c>
      <c r="L117" s="4">
        <v>1</v>
      </c>
      <c r="M117" s="4">
        <v>0</v>
      </c>
      <c r="N117" s="4">
        <v>0</v>
      </c>
      <c r="O117" s="4">
        <v>22</v>
      </c>
      <c r="P117" s="4">
        <v>778397.97</v>
      </c>
      <c r="Q117" s="4">
        <v>120044.41</v>
      </c>
    </row>
    <row r="118" spans="1:17" x14ac:dyDescent="0.35">
      <c r="A118" s="4" t="s">
        <v>52</v>
      </c>
      <c r="B118" s="5">
        <v>45689</v>
      </c>
      <c r="C118" s="4" t="s">
        <v>29</v>
      </c>
      <c r="D118" s="4" t="s">
        <v>30</v>
      </c>
      <c r="E118" s="4">
        <v>80176.34</v>
      </c>
      <c r="F118" s="4">
        <v>9489</v>
      </c>
      <c r="G118" s="4">
        <v>0.14199999999999999</v>
      </c>
      <c r="H118" s="4">
        <v>94.3</v>
      </c>
      <c r="I118" s="4">
        <v>2.67</v>
      </c>
      <c r="J118" s="4">
        <v>0</v>
      </c>
      <c r="K118" s="4">
        <v>3.5</v>
      </c>
      <c r="L118" s="4">
        <v>1</v>
      </c>
      <c r="M118" s="4">
        <v>0</v>
      </c>
      <c r="N118" s="4">
        <v>0</v>
      </c>
      <c r="O118" s="4">
        <v>22</v>
      </c>
      <c r="P118" s="4">
        <v>873380.02</v>
      </c>
      <c r="Q118" s="4">
        <v>149734.76</v>
      </c>
    </row>
    <row r="119" spans="1:17" x14ac:dyDescent="0.35">
      <c r="A119" s="4" t="s">
        <v>52</v>
      </c>
      <c r="B119" s="5">
        <v>45717</v>
      </c>
      <c r="C119" s="4" t="s">
        <v>29</v>
      </c>
      <c r="D119" s="4" t="s">
        <v>30</v>
      </c>
      <c r="E119" s="4">
        <v>33605.18</v>
      </c>
      <c r="F119" s="4">
        <v>9225</v>
      </c>
      <c r="G119" s="4">
        <v>0.159</v>
      </c>
      <c r="H119" s="4">
        <v>88.4</v>
      </c>
      <c r="I119" s="4">
        <v>5.91</v>
      </c>
      <c r="J119" s="4">
        <v>0</v>
      </c>
      <c r="K119" s="4">
        <v>2.8</v>
      </c>
      <c r="L119" s="4">
        <v>1</v>
      </c>
      <c r="M119" s="4">
        <v>0</v>
      </c>
      <c r="N119" s="4">
        <v>0</v>
      </c>
      <c r="O119" s="4">
        <v>23</v>
      </c>
      <c r="P119" s="4">
        <v>697287.9</v>
      </c>
      <c r="Q119" s="4">
        <v>128208.33</v>
      </c>
    </row>
    <row r="120" spans="1:17" x14ac:dyDescent="0.35">
      <c r="A120" s="4" t="s">
        <v>52</v>
      </c>
      <c r="B120" s="5">
        <v>45748</v>
      </c>
      <c r="C120" s="4" t="s">
        <v>29</v>
      </c>
      <c r="D120" s="4" t="s">
        <v>30</v>
      </c>
      <c r="E120" s="4">
        <v>25990.54</v>
      </c>
      <c r="F120" s="4">
        <v>9249</v>
      </c>
      <c r="G120" s="4">
        <v>0.13900000000000001</v>
      </c>
      <c r="H120" s="4">
        <v>92.5</v>
      </c>
      <c r="I120" s="4">
        <v>6.37</v>
      </c>
      <c r="J120" s="4">
        <v>0</v>
      </c>
      <c r="K120" s="4">
        <v>3.3</v>
      </c>
      <c r="L120" s="4">
        <v>1</v>
      </c>
      <c r="M120" s="4">
        <v>0</v>
      </c>
      <c r="N120" s="4">
        <v>0</v>
      </c>
      <c r="O120" s="4">
        <v>23</v>
      </c>
      <c r="P120" s="4">
        <v>718074.79</v>
      </c>
      <c r="Q120" s="4">
        <v>115819.87</v>
      </c>
    </row>
    <row r="121" spans="1:17" x14ac:dyDescent="0.35">
      <c r="A121" s="4" t="s">
        <v>53</v>
      </c>
      <c r="B121" s="5">
        <v>45658</v>
      </c>
      <c r="C121" s="4" t="s">
        <v>29</v>
      </c>
      <c r="D121" s="4" t="s">
        <v>18</v>
      </c>
      <c r="E121" s="4">
        <v>43685.14</v>
      </c>
      <c r="F121" s="4">
        <v>7821</v>
      </c>
      <c r="G121" s="4">
        <v>0.19</v>
      </c>
      <c r="H121" s="4">
        <v>91</v>
      </c>
      <c r="I121" s="4">
        <v>2.4900000000000002</v>
      </c>
      <c r="J121" s="4">
        <v>1</v>
      </c>
      <c r="K121" s="4">
        <v>4.7</v>
      </c>
      <c r="L121" s="4">
        <v>0</v>
      </c>
      <c r="M121" s="4">
        <v>1</v>
      </c>
      <c r="N121" s="4">
        <v>0</v>
      </c>
      <c r="O121" s="4">
        <v>17</v>
      </c>
      <c r="P121" s="4">
        <v>714942.43</v>
      </c>
      <c r="Q121" s="4">
        <v>94697.71</v>
      </c>
    </row>
    <row r="122" spans="1:17" x14ac:dyDescent="0.35">
      <c r="A122" s="4" t="s">
        <v>53</v>
      </c>
      <c r="B122" s="5">
        <v>45689</v>
      </c>
      <c r="C122" s="4" t="s">
        <v>29</v>
      </c>
      <c r="D122" s="4" t="s">
        <v>18</v>
      </c>
      <c r="E122" s="4">
        <v>57360.01</v>
      </c>
      <c r="F122" s="4">
        <v>8434</v>
      </c>
      <c r="G122" s="4">
        <v>0.151</v>
      </c>
      <c r="H122" s="4">
        <v>84.1</v>
      </c>
      <c r="I122" s="4">
        <v>1.56</v>
      </c>
      <c r="J122" s="4">
        <v>0</v>
      </c>
      <c r="K122" s="4">
        <v>4.7</v>
      </c>
      <c r="L122" s="4">
        <v>0</v>
      </c>
      <c r="M122" s="4">
        <v>1</v>
      </c>
      <c r="N122" s="4">
        <v>0</v>
      </c>
      <c r="O122" s="4">
        <v>19</v>
      </c>
      <c r="P122" s="4">
        <v>820519.04</v>
      </c>
      <c r="Q122" s="4">
        <v>99035.88</v>
      </c>
    </row>
    <row r="123" spans="1:17" x14ac:dyDescent="0.35">
      <c r="A123" s="4" t="s">
        <v>53</v>
      </c>
      <c r="B123" s="5">
        <v>45717</v>
      </c>
      <c r="C123" s="4" t="s">
        <v>29</v>
      </c>
      <c r="D123" s="4" t="s">
        <v>18</v>
      </c>
      <c r="E123" s="4">
        <v>42415.47</v>
      </c>
      <c r="F123" s="4">
        <v>8512</v>
      </c>
      <c r="G123" s="4">
        <v>0.13300000000000001</v>
      </c>
      <c r="H123" s="4">
        <v>96.8</v>
      </c>
      <c r="I123" s="4">
        <v>14.95</v>
      </c>
      <c r="J123" s="4">
        <v>0</v>
      </c>
      <c r="K123" s="4">
        <v>4.5999999999999996</v>
      </c>
      <c r="L123" s="4">
        <v>0</v>
      </c>
      <c r="M123" s="4">
        <v>1</v>
      </c>
      <c r="N123" s="4">
        <v>0</v>
      </c>
      <c r="O123" s="4">
        <v>18</v>
      </c>
      <c r="P123" s="4">
        <v>684217.32</v>
      </c>
      <c r="Q123" s="4">
        <v>136217.19</v>
      </c>
    </row>
    <row r="124" spans="1:17" x14ac:dyDescent="0.35">
      <c r="A124" s="4" t="s">
        <v>53</v>
      </c>
      <c r="B124" s="5">
        <v>45748</v>
      </c>
      <c r="C124" s="4" t="s">
        <v>29</v>
      </c>
      <c r="D124" s="4" t="s">
        <v>18</v>
      </c>
      <c r="E124" s="4">
        <v>54968.98</v>
      </c>
      <c r="F124" s="4">
        <v>7816</v>
      </c>
      <c r="G124" s="4">
        <v>0.23200000000000001</v>
      </c>
      <c r="H124" s="4">
        <v>95.7</v>
      </c>
      <c r="I124" s="4">
        <v>7.85</v>
      </c>
      <c r="J124" s="4">
        <v>0</v>
      </c>
      <c r="K124" s="4">
        <v>4.7</v>
      </c>
      <c r="L124" s="4">
        <v>0</v>
      </c>
      <c r="M124" s="4">
        <v>1</v>
      </c>
      <c r="N124" s="4">
        <v>0</v>
      </c>
      <c r="O124" s="4">
        <v>19</v>
      </c>
      <c r="P124" s="4">
        <v>735480.19</v>
      </c>
      <c r="Q124" s="4">
        <v>88342.11</v>
      </c>
    </row>
    <row r="125" spans="1:17" x14ac:dyDescent="0.35">
      <c r="A125" s="4" t="s">
        <v>54</v>
      </c>
      <c r="B125" s="5">
        <v>45658</v>
      </c>
      <c r="C125" s="4" t="s">
        <v>22</v>
      </c>
      <c r="D125" s="4" t="s">
        <v>20</v>
      </c>
      <c r="E125" s="4">
        <v>43896.13</v>
      </c>
      <c r="F125" s="4">
        <v>3853</v>
      </c>
      <c r="G125" s="4">
        <v>8.7999999999999995E-2</v>
      </c>
      <c r="H125" s="4">
        <v>83</v>
      </c>
      <c r="I125" s="4">
        <v>6.8</v>
      </c>
      <c r="J125" s="4">
        <v>0</v>
      </c>
      <c r="K125" s="4">
        <v>4.4000000000000004</v>
      </c>
      <c r="L125" s="4">
        <v>0</v>
      </c>
      <c r="M125" s="4">
        <v>0</v>
      </c>
      <c r="N125" s="4">
        <v>0</v>
      </c>
      <c r="O125" s="4">
        <v>13</v>
      </c>
      <c r="P125" s="4">
        <v>509484.81</v>
      </c>
      <c r="Q125" s="4">
        <v>85742.36</v>
      </c>
    </row>
    <row r="126" spans="1:17" x14ac:dyDescent="0.35">
      <c r="A126" s="4" t="s">
        <v>54</v>
      </c>
      <c r="B126" s="5">
        <v>45689</v>
      </c>
      <c r="C126" s="4" t="s">
        <v>22</v>
      </c>
      <c r="D126" s="4" t="s">
        <v>20</v>
      </c>
      <c r="E126" s="4">
        <v>83044.17</v>
      </c>
      <c r="F126" s="4">
        <v>3694</v>
      </c>
      <c r="G126" s="4">
        <v>0</v>
      </c>
      <c r="H126" s="4">
        <v>89.4</v>
      </c>
      <c r="I126" s="4">
        <v>2.2000000000000002</v>
      </c>
      <c r="J126" s="4">
        <v>0</v>
      </c>
      <c r="K126" s="4">
        <v>3.7</v>
      </c>
      <c r="L126" s="4">
        <v>0</v>
      </c>
      <c r="M126" s="4">
        <v>0</v>
      </c>
      <c r="N126" s="4">
        <v>0</v>
      </c>
      <c r="O126" s="4">
        <v>14</v>
      </c>
      <c r="P126" s="4">
        <v>654317.09</v>
      </c>
      <c r="Q126" s="4">
        <v>121446.89</v>
      </c>
    </row>
    <row r="127" spans="1:17" x14ac:dyDescent="0.35">
      <c r="A127" s="4" t="s">
        <v>54</v>
      </c>
      <c r="B127" s="5">
        <v>45717</v>
      </c>
      <c r="C127" s="4" t="s">
        <v>22</v>
      </c>
      <c r="D127" s="4" t="s">
        <v>20</v>
      </c>
      <c r="E127" s="4">
        <v>48396.13</v>
      </c>
      <c r="F127" s="4">
        <v>4423</v>
      </c>
      <c r="G127" s="4">
        <v>6.9000000000000006E-2</v>
      </c>
      <c r="H127" s="4">
        <v>85.7</v>
      </c>
      <c r="I127" s="4">
        <v>1.88</v>
      </c>
      <c r="J127" s="4">
        <v>0</v>
      </c>
      <c r="K127" s="4">
        <v>3.9</v>
      </c>
      <c r="L127" s="4">
        <v>0</v>
      </c>
      <c r="M127" s="4">
        <v>0</v>
      </c>
      <c r="N127" s="4">
        <v>0</v>
      </c>
      <c r="O127" s="4">
        <v>15</v>
      </c>
      <c r="P127" s="4">
        <v>557487.26</v>
      </c>
      <c r="Q127" s="4">
        <v>76432.19</v>
      </c>
    </row>
    <row r="128" spans="1:17" x14ac:dyDescent="0.35">
      <c r="A128" s="4" t="s">
        <v>54</v>
      </c>
      <c r="B128" s="5">
        <v>45748</v>
      </c>
      <c r="C128" s="4" t="s">
        <v>22</v>
      </c>
      <c r="D128" s="4" t="s">
        <v>20</v>
      </c>
      <c r="E128" s="4">
        <v>19063.48</v>
      </c>
      <c r="F128" s="4">
        <v>1906</v>
      </c>
      <c r="G128" s="4">
        <v>0.216</v>
      </c>
      <c r="H128" s="4">
        <v>97.8</v>
      </c>
      <c r="I128" s="4">
        <v>15.79</v>
      </c>
      <c r="J128" s="4">
        <v>0</v>
      </c>
      <c r="K128" s="4">
        <v>4.4000000000000004</v>
      </c>
      <c r="L128" s="4">
        <v>0</v>
      </c>
      <c r="M128" s="4">
        <v>0</v>
      </c>
      <c r="N128" s="4">
        <v>0</v>
      </c>
      <c r="O128" s="4">
        <v>10</v>
      </c>
      <c r="P128" s="4">
        <v>441275.42</v>
      </c>
      <c r="Q128" s="4">
        <v>58234.87</v>
      </c>
    </row>
    <row r="129" spans="1:17" x14ac:dyDescent="0.35">
      <c r="A129" s="4" t="s">
        <v>55</v>
      </c>
      <c r="B129" s="5">
        <v>45658</v>
      </c>
      <c r="C129" s="4" t="s">
        <v>26</v>
      </c>
      <c r="D129" s="4" t="s">
        <v>20</v>
      </c>
      <c r="E129" s="4">
        <v>61541.21</v>
      </c>
      <c r="F129" s="4">
        <v>10396</v>
      </c>
      <c r="G129" s="4">
        <v>0.123</v>
      </c>
      <c r="H129" s="4">
        <v>88.1</v>
      </c>
      <c r="I129" s="4">
        <v>2.34</v>
      </c>
      <c r="J129" s="4">
        <v>1</v>
      </c>
      <c r="K129" s="4">
        <v>4.8</v>
      </c>
      <c r="L129" s="4">
        <v>0</v>
      </c>
      <c r="M129" s="4">
        <v>0</v>
      </c>
      <c r="N129" s="4">
        <v>0</v>
      </c>
      <c r="O129" s="4">
        <v>25</v>
      </c>
      <c r="P129" s="4">
        <v>914544.17</v>
      </c>
      <c r="Q129" s="4">
        <v>79831.73</v>
      </c>
    </row>
    <row r="130" spans="1:17" x14ac:dyDescent="0.35">
      <c r="A130" s="4" t="s">
        <v>55</v>
      </c>
      <c r="B130" s="5">
        <v>45689</v>
      </c>
      <c r="C130" s="4" t="s">
        <v>26</v>
      </c>
      <c r="D130" s="4" t="s">
        <v>20</v>
      </c>
      <c r="E130" s="4">
        <v>44747</v>
      </c>
      <c r="F130" s="4">
        <v>11076</v>
      </c>
      <c r="G130" s="4">
        <v>0.17599999999999999</v>
      </c>
      <c r="H130" s="4">
        <v>98.3</v>
      </c>
      <c r="I130" s="4">
        <v>0.54</v>
      </c>
      <c r="J130" s="4">
        <v>0</v>
      </c>
      <c r="K130" s="4">
        <v>4.4000000000000004</v>
      </c>
      <c r="L130" s="4">
        <v>0</v>
      </c>
      <c r="M130" s="4">
        <v>0</v>
      </c>
      <c r="N130" s="4">
        <v>0</v>
      </c>
      <c r="O130" s="4">
        <v>27</v>
      </c>
      <c r="P130" s="4">
        <v>842439.67</v>
      </c>
      <c r="Q130" s="4">
        <v>169983.63</v>
      </c>
    </row>
    <row r="131" spans="1:17" x14ac:dyDescent="0.35">
      <c r="A131" s="4" t="s">
        <v>55</v>
      </c>
      <c r="B131" s="5">
        <v>45717</v>
      </c>
      <c r="C131" s="4" t="s">
        <v>26</v>
      </c>
      <c r="D131" s="4" t="s">
        <v>20</v>
      </c>
      <c r="E131" s="4">
        <v>56517.9</v>
      </c>
      <c r="F131" s="4">
        <v>9574</v>
      </c>
      <c r="G131" s="4">
        <v>0.20399999999999999</v>
      </c>
      <c r="H131" s="4">
        <v>88.2</v>
      </c>
      <c r="I131" s="4">
        <v>5.37</v>
      </c>
      <c r="J131" s="4">
        <v>1</v>
      </c>
      <c r="K131" s="4">
        <v>4.9000000000000004</v>
      </c>
      <c r="L131" s="4">
        <v>0</v>
      </c>
      <c r="M131" s="4">
        <v>0</v>
      </c>
      <c r="N131" s="4">
        <v>0</v>
      </c>
      <c r="O131" s="4">
        <v>20</v>
      </c>
      <c r="P131" s="4">
        <v>842157.92</v>
      </c>
      <c r="Q131" s="4">
        <v>107348.22</v>
      </c>
    </row>
    <row r="132" spans="1:17" x14ac:dyDescent="0.35">
      <c r="A132" s="4" t="s">
        <v>55</v>
      </c>
      <c r="B132" s="5">
        <v>45748</v>
      </c>
      <c r="C132" s="4" t="s">
        <v>26</v>
      </c>
      <c r="D132" s="4" t="s">
        <v>20</v>
      </c>
      <c r="E132" s="4">
        <v>37828.5</v>
      </c>
      <c r="F132" s="4">
        <v>8221</v>
      </c>
      <c r="G132" s="4">
        <v>9.6000000000000002E-2</v>
      </c>
      <c r="H132" s="4">
        <v>81.5</v>
      </c>
      <c r="I132" s="4">
        <v>3.19</v>
      </c>
      <c r="J132" s="4">
        <v>0</v>
      </c>
      <c r="K132" s="4">
        <v>4.8</v>
      </c>
      <c r="L132" s="4">
        <v>0</v>
      </c>
      <c r="M132" s="4">
        <v>0</v>
      </c>
      <c r="N132" s="4">
        <v>0</v>
      </c>
      <c r="O132" s="4">
        <v>19</v>
      </c>
      <c r="P132" s="4">
        <v>697155.3</v>
      </c>
      <c r="Q132" s="4">
        <v>136408.54</v>
      </c>
    </row>
    <row r="133" spans="1:17" x14ac:dyDescent="0.35">
      <c r="A133" s="4" t="s">
        <v>56</v>
      </c>
      <c r="B133" s="5">
        <v>45658</v>
      </c>
      <c r="C133" s="4" t="s">
        <v>17</v>
      </c>
      <c r="D133" s="4" t="s">
        <v>20</v>
      </c>
      <c r="E133" s="4">
        <v>66250.53</v>
      </c>
      <c r="F133" s="4">
        <v>10618</v>
      </c>
      <c r="G133" s="4">
        <v>0.14199999999999999</v>
      </c>
      <c r="H133" s="4">
        <v>88.3</v>
      </c>
      <c r="I133" s="4">
        <v>1.1000000000000001</v>
      </c>
      <c r="J133" s="4">
        <v>1</v>
      </c>
      <c r="K133" s="4">
        <v>4.4000000000000004</v>
      </c>
      <c r="L133" s="4">
        <v>0</v>
      </c>
      <c r="M133" s="4">
        <v>0</v>
      </c>
      <c r="N133" s="4">
        <v>0</v>
      </c>
      <c r="O133" s="4">
        <v>27</v>
      </c>
      <c r="P133" s="4">
        <v>849018.3</v>
      </c>
      <c r="Q133" s="4">
        <v>149035.13</v>
      </c>
    </row>
    <row r="134" spans="1:17" x14ac:dyDescent="0.35">
      <c r="A134" s="4" t="s">
        <v>56</v>
      </c>
      <c r="B134" s="5">
        <v>45689</v>
      </c>
      <c r="C134" s="4" t="s">
        <v>17</v>
      </c>
      <c r="D134" s="4" t="s">
        <v>20</v>
      </c>
      <c r="E134" s="4">
        <v>68410.929999999993</v>
      </c>
      <c r="F134" s="4">
        <v>10596</v>
      </c>
      <c r="G134" s="4">
        <v>0.20699999999999999</v>
      </c>
      <c r="H134" s="4">
        <v>81.2</v>
      </c>
      <c r="I134" s="4">
        <v>0.21</v>
      </c>
      <c r="J134" s="4">
        <v>0</v>
      </c>
      <c r="K134" s="4">
        <v>4</v>
      </c>
      <c r="L134" s="4">
        <v>0</v>
      </c>
      <c r="M134" s="4">
        <v>0</v>
      </c>
      <c r="N134" s="4">
        <v>0</v>
      </c>
      <c r="O134" s="4">
        <v>25</v>
      </c>
      <c r="P134" s="4">
        <v>801830.35</v>
      </c>
      <c r="Q134" s="4">
        <v>114875.32</v>
      </c>
    </row>
    <row r="135" spans="1:17" x14ac:dyDescent="0.35">
      <c r="A135" s="4" t="s">
        <v>56</v>
      </c>
      <c r="B135" s="5">
        <v>45717</v>
      </c>
      <c r="C135" s="4" t="s">
        <v>17</v>
      </c>
      <c r="D135" s="4" t="s">
        <v>20</v>
      </c>
      <c r="E135" s="4">
        <v>50735.63</v>
      </c>
      <c r="F135" s="4">
        <v>9619</v>
      </c>
      <c r="G135" s="4">
        <v>0.14399999999999999</v>
      </c>
      <c r="H135" s="4">
        <v>93.8</v>
      </c>
      <c r="I135" s="4">
        <v>5.12</v>
      </c>
      <c r="J135" s="4">
        <v>1</v>
      </c>
      <c r="K135" s="4">
        <v>4.5</v>
      </c>
      <c r="L135" s="4">
        <v>0</v>
      </c>
      <c r="M135" s="4">
        <v>0</v>
      </c>
      <c r="N135" s="4">
        <v>0</v>
      </c>
      <c r="O135" s="4">
        <v>19</v>
      </c>
      <c r="P135" s="4">
        <v>725235.28</v>
      </c>
      <c r="Q135" s="4">
        <v>121632.24</v>
      </c>
    </row>
    <row r="136" spans="1:17" x14ac:dyDescent="0.35">
      <c r="A136" s="4" t="s">
        <v>56</v>
      </c>
      <c r="B136" s="5">
        <v>45748</v>
      </c>
      <c r="C136" s="4" t="s">
        <v>17</v>
      </c>
      <c r="D136" s="4" t="s">
        <v>20</v>
      </c>
      <c r="E136" s="4">
        <v>66455.8</v>
      </c>
      <c r="F136" s="4">
        <v>10836</v>
      </c>
      <c r="G136" s="4">
        <v>8.8999999999999996E-2</v>
      </c>
      <c r="H136" s="4">
        <v>85</v>
      </c>
      <c r="I136" s="4">
        <v>9.77</v>
      </c>
      <c r="J136" s="4">
        <v>0</v>
      </c>
      <c r="K136" s="4">
        <v>4.5</v>
      </c>
      <c r="L136" s="4">
        <v>0</v>
      </c>
      <c r="M136" s="4">
        <v>0</v>
      </c>
      <c r="N136" s="4">
        <v>0</v>
      </c>
      <c r="O136" s="4">
        <v>25</v>
      </c>
      <c r="P136" s="4">
        <v>811452.72</v>
      </c>
      <c r="Q136" s="4">
        <v>131325.67000000001</v>
      </c>
    </row>
    <row r="137" spans="1:17" x14ac:dyDescent="0.35">
      <c r="A137" s="4" t="s">
        <v>57</v>
      </c>
      <c r="B137" s="5">
        <v>45658</v>
      </c>
      <c r="C137" s="4" t="s">
        <v>22</v>
      </c>
      <c r="D137" s="4" t="s">
        <v>20</v>
      </c>
      <c r="E137" s="4">
        <v>70276.28</v>
      </c>
      <c r="F137" s="4">
        <v>3043</v>
      </c>
      <c r="G137" s="4">
        <v>7.9000000000000001E-2</v>
      </c>
      <c r="H137" s="4">
        <v>87.9</v>
      </c>
      <c r="I137" s="4">
        <v>3.77</v>
      </c>
      <c r="J137" s="4">
        <v>0</v>
      </c>
      <c r="K137" s="4">
        <v>4.4000000000000004</v>
      </c>
      <c r="L137" s="4">
        <v>0</v>
      </c>
      <c r="M137" s="4">
        <v>0</v>
      </c>
      <c r="N137" s="4">
        <v>0</v>
      </c>
      <c r="O137" s="4">
        <v>9</v>
      </c>
      <c r="P137" s="4">
        <v>527300.13</v>
      </c>
      <c r="Q137" s="4">
        <v>84197.87</v>
      </c>
    </row>
    <row r="138" spans="1:17" x14ac:dyDescent="0.35">
      <c r="A138" s="4" t="s">
        <v>57</v>
      </c>
      <c r="B138" s="5">
        <v>45689</v>
      </c>
      <c r="C138" s="4" t="s">
        <v>22</v>
      </c>
      <c r="D138" s="4" t="s">
        <v>20</v>
      </c>
      <c r="E138" s="4">
        <v>22071.64</v>
      </c>
      <c r="F138" s="4">
        <v>1814</v>
      </c>
      <c r="G138" s="4">
        <v>0.19600000000000001</v>
      </c>
      <c r="H138" s="4">
        <v>81.099999999999994</v>
      </c>
      <c r="I138" s="4">
        <v>0.78</v>
      </c>
      <c r="J138" s="4">
        <v>0</v>
      </c>
      <c r="K138" s="4">
        <v>3.9</v>
      </c>
      <c r="L138" s="4">
        <v>0</v>
      </c>
      <c r="M138" s="4">
        <v>0</v>
      </c>
      <c r="N138" s="4">
        <v>0</v>
      </c>
      <c r="O138" s="4">
        <v>8</v>
      </c>
      <c r="P138" s="4">
        <v>400831.65</v>
      </c>
      <c r="Q138" s="4">
        <v>70979.31</v>
      </c>
    </row>
    <row r="139" spans="1:17" x14ac:dyDescent="0.35">
      <c r="A139" s="4" t="s">
        <v>57</v>
      </c>
      <c r="B139" s="5">
        <v>45717</v>
      </c>
      <c r="C139" s="4" t="s">
        <v>22</v>
      </c>
      <c r="D139" s="4" t="s">
        <v>20</v>
      </c>
      <c r="E139" s="4">
        <v>52285.45</v>
      </c>
      <c r="F139" s="4">
        <v>3618</v>
      </c>
      <c r="G139" s="4">
        <v>8.5999999999999993E-2</v>
      </c>
      <c r="H139" s="4">
        <v>95.6</v>
      </c>
      <c r="I139" s="4">
        <v>5.17</v>
      </c>
      <c r="J139" s="4">
        <v>1</v>
      </c>
      <c r="K139" s="4">
        <v>4.4000000000000004</v>
      </c>
      <c r="L139" s="4">
        <v>0</v>
      </c>
      <c r="M139" s="4">
        <v>0</v>
      </c>
      <c r="N139" s="4">
        <v>0</v>
      </c>
      <c r="O139" s="4">
        <v>11</v>
      </c>
      <c r="P139" s="4">
        <v>593247.25</v>
      </c>
      <c r="Q139" s="4">
        <v>81240.289999999994</v>
      </c>
    </row>
    <row r="140" spans="1:17" x14ac:dyDescent="0.35">
      <c r="A140" s="4" t="s">
        <v>57</v>
      </c>
      <c r="B140" s="5">
        <v>45748</v>
      </c>
      <c r="C140" s="4" t="s">
        <v>22</v>
      </c>
      <c r="D140" s="4" t="s">
        <v>20</v>
      </c>
      <c r="E140" s="4">
        <v>70366.759999999995</v>
      </c>
      <c r="F140" s="4">
        <v>1963</v>
      </c>
      <c r="G140" s="4">
        <v>0.182</v>
      </c>
      <c r="H140" s="4">
        <v>89.8</v>
      </c>
      <c r="I140" s="4">
        <v>3.2</v>
      </c>
      <c r="J140" s="4">
        <v>0</v>
      </c>
      <c r="K140" s="4">
        <v>4.5999999999999996</v>
      </c>
      <c r="L140" s="4">
        <v>0</v>
      </c>
      <c r="M140" s="4">
        <v>0</v>
      </c>
      <c r="N140" s="4">
        <v>0</v>
      </c>
      <c r="O140" s="4">
        <v>8</v>
      </c>
      <c r="P140" s="4">
        <v>529075.94999999995</v>
      </c>
      <c r="Q140" s="4">
        <v>95978.83</v>
      </c>
    </row>
    <row r="141" spans="1:17" x14ac:dyDescent="0.35">
      <c r="A141" s="4" t="s">
        <v>58</v>
      </c>
      <c r="B141" s="5">
        <v>45658</v>
      </c>
      <c r="C141" s="4" t="s">
        <v>26</v>
      </c>
      <c r="D141" s="4" t="s">
        <v>18</v>
      </c>
      <c r="E141" s="4">
        <v>71320.66</v>
      </c>
      <c r="F141" s="4">
        <v>7888</v>
      </c>
      <c r="G141" s="4">
        <v>4.8000000000000001E-2</v>
      </c>
      <c r="H141" s="4">
        <v>78.099999999999994</v>
      </c>
      <c r="I141" s="4">
        <v>3.4</v>
      </c>
      <c r="J141" s="4">
        <v>0</v>
      </c>
      <c r="K141" s="4">
        <v>3.9</v>
      </c>
      <c r="L141" s="4">
        <v>0</v>
      </c>
      <c r="M141" s="4">
        <v>1</v>
      </c>
      <c r="N141" s="4">
        <v>0</v>
      </c>
      <c r="O141" s="4">
        <v>20</v>
      </c>
      <c r="P141" s="4">
        <v>633638.03</v>
      </c>
      <c r="Q141" s="4">
        <v>99402.01</v>
      </c>
    </row>
    <row r="142" spans="1:17" x14ac:dyDescent="0.35">
      <c r="A142" s="4" t="s">
        <v>58</v>
      </c>
      <c r="B142" s="5">
        <v>45689</v>
      </c>
      <c r="C142" s="4" t="s">
        <v>26</v>
      </c>
      <c r="D142" s="4" t="s">
        <v>18</v>
      </c>
      <c r="E142" s="4">
        <v>75109.67</v>
      </c>
      <c r="F142" s="4">
        <v>6244</v>
      </c>
      <c r="G142" s="4">
        <v>7.9000000000000001E-2</v>
      </c>
      <c r="H142" s="4">
        <v>96.3</v>
      </c>
      <c r="I142" s="4">
        <v>7.38</v>
      </c>
      <c r="J142" s="4">
        <v>0</v>
      </c>
      <c r="K142" s="4">
        <v>3.7</v>
      </c>
      <c r="L142" s="4">
        <v>0</v>
      </c>
      <c r="M142" s="4">
        <v>1</v>
      </c>
      <c r="N142" s="4">
        <v>0</v>
      </c>
      <c r="O142" s="4">
        <v>15</v>
      </c>
      <c r="P142" s="4">
        <v>743348.84</v>
      </c>
      <c r="Q142" s="4">
        <v>104186.09</v>
      </c>
    </row>
    <row r="143" spans="1:17" x14ac:dyDescent="0.35">
      <c r="A143" s="4" t="s">
        <v>58</v>
      </c>
      <c r="B143" s="5">
        <v>45717</v>
      </c>
      <c r="C143" s="4" t="s">
        <v>26</v>
      </c>
      <c r="D143" s="4" t="s">
        <v>18</v>
      </c>
      <c r="E143" s="4">
        <v>69779</v>
      </c>
      <c r="F143" s="4">
        <v>6544</v>
      </c>
      <c r="G143" s="4">
        <v>0.152</v>
      </c>
      <c r="H143" s="4">
        <v>90.2</v>
      </c>
      <c r="I143" s="4">
        <v>0.85</v>
      </c>
      <c r="J143" s="4">
        <v>1</v>
      </c>
      <c r="K143" s="4">
        <v>3.3</v>
      </c>
      <c r="L143" s="4">
        <v>0</v>
      </c>
      <c r="M143" s="4">
        <v>1</v>
      </c>
      <c r="N143" s="4">
        <v>0</v>
      </c>
      <c r="O143" s="4">
        <v>18</v>
      </c>
      <c r="P143" s="4">
        <v>758827.64</v>
      </c>
      <c r="Q143" s="4">
        <v>161439.48000000001</v>
      </c>
    </row>
    <row r="144" spans="1:17" x14ac:dyDescent="0.35">
      <c r="A144" s="4" t="s">
        <v>58</v>
      </c>
      <c r="B144" s="5">
        <v>45748</v>
      </c>
      <c r="C144" s="4" t="s">
        <v>26</v>
      </c>
      <c r="D144" s="4" t="s">
        <v>18</v>
      </c>
      <c r="E144" s="4">
        <v>44211.95</v>
      </c>
      <c r="F144" s="4">
        <v>5465</v>
      </c>
      <c r="G144" s="4">
        <v>0.187</v>
      </c>
      <c r="H144" s="4">
        <v>90</v>
      </c>
      <c r="I144" s="4">
        <v>2.89</v>
      </c>
      <c r="J144" s="4">
        <v>0</v>
      </c>
      <c r="K144" s="4">
        <v>3.6</v>
      </c>
      <c r="L144" s="4">
        <v>0</v>
      </c>
      <c r="M144" s="4">
        <v>1</v>
      </c>
      <c r="N144" s="4">
        <v>0</v>
      </c>
      <c r="O144" s="4">
        <v>12</v>
      </c>
      <c r="P144" s="4">
        <v>646559.71</v>
      </c>
      <c r="Q144" s="4">
        <v>97981.75</v>
      </c>
    </row>
    <row r="145" spans="1:17" x14ac:dyDescent="0.35">
      <c r="A145" s="4" t="s">
        <v>59</v>
      </c>
      <c r="B145" s="5">
        <v>45658</v>
      </c>
      <c r="C145" s="4" t="s">
        <v>29</v>
      </c>
      <c r="D145" s="4" t="s">
        <v>20</v>
      </c>
      <c r="E145" s="4">
        <v>51430.31</v>
      </c>
      <c r="F145" s="4">
        <v>6427</v>
      </c>
      <c r="G145" s="4">
        <v>0.23400000000000001</v>
      </c>
      <c r="H145" s="4">
        <v>88.8</v>
      </c>
      <c r="I145" s="4">
        <v>0.77</v>
      </c>
      <c r="J145" s="4">
        <v>0</v>
      </c>
      <c r="K145" s="4">
        <v>4.0999999999999996</v>
      </c>
      <c r="L145" s="4">
        <v>0</v>
      </c>
      <c r="M145" s="4">
        <v>0</v>
      </c>
      <c r="N145" s="4">
        <v>0</v>
      </c>
      <c r="O145" s="4">
        <v>14</v>
      </c>
      <c r="P145" s="4">
        <v>715890.53</v>
      </c>
      <c r="Q145" s="4">
        <v>109032.15</v>
      </c>
    </row>
    <row r="146" spans="1:17" x14ac:dyDescent="0.35">
      <c r="A146" s="4" t="s">
        <v>59</v>
      </c>
      <c r="B146" s="5">
        <v>45689</v>
      </c>
      <c r="C146" s="4" t="s">
        <v>29</v>
      </c>
      <c r="D146" s="4" t="s">
        <v>20</v>
      </c>
      <c r="E146" s="4">
        <v>45706.49</v>
      </c>
      <c r="F146" s="4">
        <v>6704</v>
      </c>
      <c r="G146" s="4">
        <v>3.7999999999999999E-2</v>
      </c>
      <c r="H146" s="4">
        <v>94.2</v>
      </c>
      <c r="I146" s="4">
        <v>2.92</v>
      </c>
      <c r="J146" s="4">
        <v>0</v>
      </c>
      <c r="K146" s="4">
        <v>4.2</v>
      </c>
      <c r="L146" s="4">
        <v>0</v>
      </c>
      <c r="M146" s="4">
        <v>0</v>
      </c>
      <c r="N146" s="4">
        <v>0</v>
      </c>
      <c r="O146" s="4">
        <v>15</v>
      </c>
      <c r="P146" s="4">
        <v>715097.57</v>
      </c>
      <c r="Q146" s="4">
        <v>151875.85999999999</v>
      </c>
    </row>
    <row r="147" spans="1:17" x14ac:dyDescent="0.35">
      <c r="A147" s="4" t="s">
        <v>59</v>
      </c>
      <c r="B147" s="5">
        <v>45717</v>
      </c>
      <c r="C147" s="4" t="s">
        <v>29</v>
      </c>
      <c r="D147" s="4" t="s">
        <v>20</v>
      </c>
      <c r="E147" s="4">
        <v>44034.6</v>
      </c>
      <c r="F147" s="4">
        <v>5645</v>
      </c>
      <c r="G147" s="4">
        <v>6.9000000000000006E-2</v>
      </c>
      <c r="H147" s="4">
        <v>88.5</v>
      </c>
      <c r="I147" s="4">
        <v>3.07</v>
      </c>
      <c r="J147" s="4">
        <v>0</v>
      </c>
      <c r="K147" s="4">
        <v>3.8</v>
      </c>
      <c r="L147" s="4">
        <v>0</v>
      </c>
      <c r="M147" s="4">
        <v>0</v>
      </c>
      <c r="N147" s="4">
        <v>0</v>
      </c>
      <c r="O147" s="4">
        <v>18</v>
      </c>
      <c r="P147" s="4">
        <v>682639.28</v>
      </c>
      <c r="Q147" s="4">
        <v>77557.53</v>
      </c>
    </row>
    <row r="148" spans="1:17" x14ac:dyDescent="0.35">
      <c r="A148" s="4" t="s">
        <v>59</v>
      </c>
      <c r="B148" s="5">
        <v>45748</v>
      </c>
      <c r="C148" s="4" t="s">
        <v>29</v>
      </c>
      <c r="D148" s="4" t="s">
        <v>20</v>
      </c>
      <c r="E148" s="4">
        <v>50198.12</v>
      </c>
      <c r="F148" s="4">
        <v>6089</v>
      </c>
      <c r="G148" s="4">
        <v>0.182</v>
      </c>
      <c r="H148" s="4">
        <v>94</v>
      </c>
      <c r="I148" s="4">
        <v>9.6999999999999993</v>
      </c>
      <c r="J148" s="4">
        <v>0</v>
      </c>
      <c r="K148" s="4">
        <v>3.9</v>
      </c>
      <c r="L148" s="4">
        <v>0</v>
      </c>
      <c r="M148" s="4">
        <v>0</v>
      </c>
      <c r="N148" s="4">
        <v>0</v>
      </c>
      <c r="O148" s="4">
        <v>19</v>
      </c>
      <c r="P148" s="4">
        <v>695098.51</v>
      </c>
      <c r="Q148" s="4">
        <v>108192.75</v>
      </c>
    </row>
    <row r="149" spans="1:17" x14ac:dyDescent="0.35">
      <c r="A149" s="4" t="s">
        <v>60</v>
      </c>
      <c r="B149" s="5">
        <v>45658</v>
      </c>
      <c r="C149" s="4" t="s">
        <v>22</v>
      </c>
      <c r="D149" s="4" t="s">
        <v>18</v>
      </c>
      <c r="E149" s="4">
        <v>70488.2</v>
      </c>
      <c r="F149" s="4">
        <v>4312</v>
      </c>
      <c r="G149" s="4">
        <v>0.16900000000000001</v>
      </c>
      <c r="H149" s="4">
        <v>90.2</v>
      </c>
      <c r="I149" s="4">
        <v>3.71</v>
      </c>
      <c r="J149" s="4">
        <v>0</v>
      </c>
      <c r="K149" s="4">
        <v>3.2</v>
      </c>
      <c r="L149" s="4">
        <v>0</v>
      </c>
      <c r="M149" s="4">
        <v>1</v>
      </c>
      <c r="N149" s="4">
        <v>0</v>
      </c>
      <c r="O149" s="4">
        <v>12</v>
      </c>
      <c r="P149" s="4">
        <v>577732.56999999995</v>
      </c>
      <c r="Q149" s="4">
        <v>93804.27</v>
      </c>
    </row>
    <row r="150" spans="1:17" x14ac:dyDescent="0.35">
      <c r="A150" s="4" t="s">
        <v>60</v>
      </c>
      <c r="B150" s="5">
        <v>45689</v>
      </c>
      <c r="C150" s="4" t="s">
        <v>22</v>
      </c>
      <c r="D150" s="4" t="s">
        <v>18</v>
      </c>
      <c r="E150" s="4">
        <v>50909.27</v>
      </c>
      <c r="F150" s="4">
        <v>3152</v>
      </c>
      <c r="G150" s="4">
        <v>0.06</v>
      </c>
      <c r="H150" s="4">
        <v>93.7</v>
      </c>
      <c r="I150" s="4">
        <v>10.79</v>
      </c>
      <c r="J150" s="4">
        <v>0</v>
      </c>
      <c r="K150" s="4">
        <v>3.5</v>
      </c>
      <c r="L150" s="4">
        <v>0</v>
      </c>
      <c r="M150" s="4">
        <v>1</v>
      </c>
      <c r="N150" s="4">
        <v>0</v>
      </c>
      <c r="O150" s="4">
        <v>13</v>
      </c>
      <c r="P150" s="4">
        <v>537058.32999999996</v>
      </c>
      <c r="Q150" s="4">
        <v>93555.71</v>
      </c>
    </row>
    <row r="151" spans="1:17" x14ac:dyDescent="0.35">
      <c r="A151" s="4" t="s">
        <v>60</v>
      </c>
      <c r="B151" s="5">
        <v>45717</v>
      </c>
      <c r="C151" s="4" t="s">
        <v>22</v>
      </c>
      <c r="D151" s="4" t="s">
        <v>18</v>
      </c>
      <c r="E151" s="4">
        <v>53351.7</v>
      </c>
      <c r="F151" s="4">
        <v>4259</v>
      </c>
      <c r="G151" s="4">
        <v>0.156</v>
      </c>
      <c r="H151" s="4">
        <v>93.7</v>
      </c>
      <c r="I151" s="4">
        <v>6.03</v>
      </c>
      <c r="J151" s="4">
        <v>0</v>
      </c>
      <c r="K151" s="4">
        <v>3.4</v>
      </c>
      <c r="L151" s="4">
        <v>0</v>
      </c>
      <c r="M151" s="4">
        <v>1</v>
      </c>
      <c r="N151" s="4">
        <v>0</v>
      </c>
      <c r="O151" s="4">
        <v>15</v>
      </c>
      <c r="P151" s="4">
        <v>601568.87</v>
      </c>
      <c r="Q151" s="4">
        <v>91634.82</v>
      </c>
    </row>
    <row r="152" spans="1:17" x14ac:dyDescent="0.35">
      <c r="A152" s="4" t="s">
        <v>60</v>
      </c>
      <c r="B152" s="5">
        <v>45748</v>
      </c>
      <c r="C152" s="4" t="s">
        <v>22</v>
      </c>
      <c r="D152" s="4" t="s">
        <v>18</v>
      </c>
      <c r="E152" s="4">
        <v>60322.400000000001</v>
      </c>
      <c r="F152" s="4">
        <v>3350</v>
      </c>
      <c r="G152" s="4">
        <v>0.108</v>
      </c>
      <c r="H152" s="4">
        <v>89.4</v>
      </c>
      <c r="I152" s="4">
        <v>4.92</v>
      </c>
      <c r="J152" s="4">
        <v>0</v>
      </c>
      <c r="K152" s="4">
        <v>3.4</v>
      </c>
      <c r="L152" s="4">
        <v>0</v>
      </c>
      <c r="M152" s="4">
        <v>1</v>
      </c>
      <c r="N152" s="4">
        <v>0</v>
      </c>
      <c r="O152" s="4">
        <v>12</v>
      </c>
      <c r="P152" s="4">
        <v>570964.84</v>
      </c>
      <c r="Q152" s="4">
        <v>81331.070000000007</v>
      </c>
    </row>
    <row r="153" spans="1:17" x14ac:dyDescent="0.35">
      <c r="A153" s="4" t="s">
        <v>61</v>
      </c>
      <c r="B153" s="5">
        <v>45658</v>
      </c>
      <c r="C153" s="4" t="s">
        <v>26</v>
      </c>
      <c r="D153" s="4" t="s">
        <v>30</v>
      </c>
      <c r="E153" s="4">
        <v>51575.68</v>
      </c>
      <c r="F153" s="4">
        <v>5329</v>
      </c>
      <c r="G153" s="4">
        <v>4.7E-2</v>
      </c>
      <c r="H153" s="4">
        <v>88.1</v>
      </c>
      <c r="I153" s="4">
        <v>19.78</v>
      </c>
      <c r="J153" s="4">
        <v>0</v>
      </c>
      <c r="K153" s="4">
        <v>3.8</v>
      </c>
      <c r="L153" s="4">
        <v>1</v>
      </c>
      <c r="M153" s="4">
        <v>0</v>
      </c>
      <c r="N153" s="4">
        <v>0</v>
      </c>
      <c r="O153" s="4">
        <v>17</v>
      </c>
      <c r="P153" s="4">
        <v>614024.91</v>
      </c>
      <c r="Q153" s="4">
        <v>84828.93</v>
      </c>
    </row>
    <row r="154" spans="1:17" x14ac:dyDescent="0.35">
      <c r="A154" s="4" t="s">
        <v>61</v>
      </c>
      <c r="B154" s="5">
        <v>45689</v>
      </c>
      <c r="C154" s="4" t="s">
        <v>26</v>
      </c>
      <c r="D154" s="4" t="s">
        <v>30</v>
      </c>
      <c r="E154" s="4">
        <v>43319.94</v>
      </c>
      <c r="F154" s="4">
        <v>6551</v>
      </c>
      <c r="G154" s="4">
        <v>4.3999999999999997E-2</v>
      </c>
      <c r="H154" s="4">
        <v>99</v>
      </c>
      <c r="I154" s="4">
        <v>5.45</v>
      </c>
      <c r="J154" s="4">
        <v>0</v>
      </c>
      <c r="K154" s="4">
        <v>4.0999999999999996</v>
      </c>
      <c r="L154" s="4">
        <v>1</v>
      </c>
      <c r="M154" s="4">
        <v>0</v>
      </c>
      <c r="N154" s="4">
        <v>0</v>
      </c>
      <c r="O154" s="4">
        <v>13</v>
      </c>
      <c r="P154" s="4">
        <v>712868.35</v>
      </c>
      <c r="Q154" s="4">
        <v>133650.51</v>
      </c>
    </row>
    <row r="155" spans="1:17" x14ac:dyDescent="0.35">
      <c r="A155" s="4" t="s">
        <v>61</v>
      </c>
      <c r="B155" s="5">
        <v>45717</v>
      </c>
      <c r="C155" s="4" t="s">
        <v>26</v>
      </c>
      <c r="D155" s="4" t="s">
        <v>30</v>
      </c>
      <c r="E155" s="4">
        <v>47093.55</v>
      </c>
      <c r="F155" s="4">
        <v>5550</v>
      </c>
      <c r="G155" s="4">
        <v>0.1</v>
      </c>
      <c r="H155" s="4">
        <v>95</v>
      </c>
      <c r="I155" s="4">
        <v>2.33</v>
      </c>
      <c r="J155" s="4">
        <v>1</v>
      </c>
      <c r="K155" s="4">
        <v>3.7</v>
      </c>
      <c r="L155" s="4">
        <v>1</v>
      </c>
      <c r="M155" s="4">
        <v>0</v>
      </c>
      <c r="N155" s="4">
        <v>0</v>
      </c>
      <c r="O155" s="4">
        <v>12</v>
      </c>
      <c r="P155" s="4">
        <v>696744.15</v>
      </c>
      <c r="Q155" s="4">
        <v>152230.09</v>
      </c>
    </row>
    <row r="156" spans="1:17" x14ac:dyDescent="0.35">
      <c r="A156" s="4" t="s">
        <v>61</v>
      </c>
      <c r="B156" s="5">
        <v>45748</v>
      </c>
      <c r="C156" s="4" t="s">
        <v>26</v>
      </c>
      <c r="D156" s="4" t="s">
        <v>30</v>
      </c>
      <c r="E156" s="4">
        <v>71855.09</v>
      </c>
      <c r="F156" s="4">
        <v>5911</v>
      </c>
      <c r="G156" s="4">
        <v>0.19700000000000001</v>
      </c>
      <c r="H156" s="4">
        <v>94.3</v>
      </c>
      <c r="I156" s="4">
        <v>3.55</v>
      </c>
      <c r="J156" s="4">
        <v>0</v>
      </c>
      <c r="K156" s="4">
        <v>4.0999999999999996</v>
      </c>
      <c r="L156" s="4">
        <v>1</v>
      </c>
      <c r="M156" s="4">
        <v>0</v>
      </c>
      <c r="N156" s="4">
        <v>0</v>
      </c>
      <c r="O156" s="4">
        <v>15</v>
      </c>
      <c r="P156" s="4">
        <v>725847.99</v>
      </c>
      <c r="Q156" s="4">
        <v>122698.73</v>
      </c>
    </row>
    <row r="157" spans="1:17" x14ac:dyDescent="0.35">
      <c r="A157" s="4" t="s">
        <v>62</v>
      </c>
      <c r="B157" s="5">
        <v>45658</v>
      </c>
      <c r="C157" s="4" t="s">
        <v>17</v>
      </c>
      <c r="D157" s="4" t="s">
        <v>20</v>
      </c>
      <c r="E157" s="4">
        <v>75645.23</v>
      </c>
      <c r="F157" s="4">
        <v>9674</v>
      </c>
      <c r="G157" s="4">
        <v>0.23400000000000001</v>
      </c>
      <c r="H157" s="4">
        <v>87.4</v>
      </c>
      <c r="I157" s="4">
        <v>0.2</v>
      </c>
      <c r="J157" s="4">
        <v>0</v>
      </c>
      <c r="K157" s="4">
        <v>4.5</v>
      </c>
      <c r="L157" s="4">
        <v>0</v>
      </c>
      <c r="M157" s="4">
        <v>0</v>
      </c>
      <c r="N157" s="4">
        <v>0</v>
      </c>
      <c r="O157" s="4">
        <v>21</v>
      </c>
      <c r="P157" s="4">
        <v>785028.25</v>
      </c>
      <c r="Q157" s="4">
        <v>110726.44</v>
      </c>
    </row>
    <row r="158" spans="1:17" x14ac:dyDescent="0.35">
      <c r="A158" s="4" t="s">
        <v>62</v>
      </c>
      <c r="B158" s="5">
        <v>45689</v>
      </c>
      <c r="C158" s="4" t="s">
        <v>17</v>
      </c>
      <c r="D158" s="4" t="s">
        <v>20</v>
      </c>
      <c r="E158" s="4">
        <v>64374.75</v>
      </c>
      <c r="F158" s="4">
        <v>6740</v>
      </c>
      <c r="G158" s="4">
        <v>0.16900000000000001</v>
      </c>
      <c r="H158" s="4">
        <v>87</v>
      </c>
      <c r="I158" s="4">
        <v>2.09</v>
      </c>
      <c r="J158" s="4">
        <v>0</v>
      </c>
      <c r="K158" s="4">
        <v>4.2</v>
      </c>
      <c r="L158" s="4">
        <v>0</v>
      </c>
      <c r="M158" s="4">
        <v>0</v>
      </c>
      <c r="N158" s="4">
        <v>0</v>
      </c>
      <c r="O158" s="4">
        <v>18</v>
      </c>
      <c r="P158" s="4">
        <v>698492.67</v>
      </c>
      <c r="Q158" s="4">
        <v>117319.32</v>
      </c>
    </row>
    <row r="159" spans="1:17" x14ac:dyDescent="0.35">
      <c r="A159" s="4" t="s">
        <v>62</v>
      </c>
      <c r="B159" s="5">
        <v>45717</v>
      </c>
      <c r="C159" s="4" t="s">
        <v>17</v>
      </c>
      <c r="D159" s="4" t="s">
        <v>20</v>
      </c>
      <c r="E159" s="4">
        <v>61433.84</v>
      </c>
      <c r="F159" s="4">
        <v>7745</v>
      </c>
      <c r="G159" s="4">
        <v>0.18</v>
      </c>
      <c r="H159" s="4">
        <v>90.5</v>
      </c>
      <c r="I159" s="4">
        <v>2.2599999999999998</v>
      </c>
      <c r="J159" s="4">
        <v>0</v>
      </c>
      <c r="K159" s="4">
        <v>4.2</v>
      </c>
      <c r="L159" s="4">
        <v>0</v>
      </c>
      <c r="M159" s="4">
        <v>0</v>
      </c>
      <c r="N159" s="4">
        <v>0</v>
      </c>
      <c r="O159" s="4">
        <v>16</v>
      </c>
      <c r="P159" s="4">
        <v>685830.24</v>
      </c>
      <c r="Q159" s="4">
        <v>128736.18</v>
      </c>
    </row>
    <row r="160" spans="1:17" x14ac:dyDescent="0.35">
      <c r="A160" s="4" t="s">
        <v>62</v>
      </c>
      <c r="B160" s="5">
        <v>45748</v>
      </c>
      <c r="C160" s="4" t="s">
        <v>17</v>
      </c>
      <c r="D160" s="4" t="s">
        <v>20</v>
      </c>
      <c r="E160" s="4">
        <v>42698.14</v>
      </c>
      <c r="F160" s="4">
        <v>7693</v>
      </c>
      <c r="G160" s="4">
        <v>0.187</v>
      </c>
      <c r="H160" s="4">
        <v>90.1</v>
      </c>
      <c r="I160" s="4">
        <v>0.44</v>
      </c>
      <c r="J160" s="4">
        <v>0</v>
      </c>
      <c r="K160" s="4">
        <v>4.4000000000000004</v>
      </c>
      <c r="L160" s="4">
        <v>0</v>
      </c>
      <c r="M160" s="4">
        <v>0</v>
      </c>
      <c r="N160" s="4">
        <v>0</v>
      </c>
      <c r="O160" s="4">
        <v>19</v>
      </c>
      <c r="P160" s="4">
        <v>702318.94</v>
      </c>
      <c r="Q160" s="4">
        <v>112829.29</v>
      </c>
    </row>
    <row r="161" spans="1:17" x14ac:dyDescent="0.35">
      <c r="A161" s="4" t="s">
        <v>63</v>
      </c>
      <c r="B161" s="5">
        <v>45658</v>
      </c>
      <c r="C161" s="4" t="s">
        <v>22</v>
      </c>
      <c r="D161" s="4" t="s">
        <v>30</v>
      </c>
      <c r="E161" s="4">
        <v>86883.31</v>
      </c>
      <c r="F161" s="4">
        <v>6424</v>
      </c>
      <c r="G161" s="4">
        <v>5.7000000000000002E-2</v>
      </c>
      <c r="H161" s="4">
        <v>85.2</v>
      </c>
      <c r="I161" s="4">
        <v>3.08</v>
      </c>
      <c r="J161" s="4">
        <v>0</v>
      </c>
      <c r="K161" s="4">
        <v>3.9</v>
      </c>
      <c r="L161" s="4">
        <v>1</v>
      </c>
      <c r="M161" s="4">
        <v>0</v>
      </c>
      <c r="N161" s="4">
        <v>0</v>
      </c>
      <c r="O161" s="4">
        <v>19</v>
      </c>
      <c r="P161" s="4">
        <v>700078.32</v>
      </c>
      <c r="Q161" s="4">
        <v>123707.58</v>
      </c>
    </row>
    <row r="162" spans="1:17" x14ac:dyDescent="0.35">
      <c r="A162" s="4" t="s">
        <v>63</v>
      </c>
      <c r="B162" s="5">
        <v>45689</v>
      </c>
      <c r="C162" s="4" t="s">
        <v>22</v>
      </c>
      <c r="D162" s="4" t="s">
        <v>30</v>
      </c>
      <c r="E162" s="4">
        <v>41863.08</v>
      </c>
      <c r="F162" s="4">
        <v>5400</v>
      </c>
      <c r="G162" s="4">
        <v>0.114</v>
      </c>
      <c r="H162" s="4">
        <v>91.6</v>
      </c>
      <c r="I162" s="4">
        <v>7.99</v>
      </c>
      <c r="J162" s="4">
        <v>0</v>
      </c>
      <c r="K162" s="4">
        <v>3</v>
      </c>
      <c r="L162" s="4">
        <v>1</v>
      </c>
      <c r="M162" s="4">
        <v>0</v>
      </c>
      <c r="N162" s="4">
        <v>0</v>
      </c>
      <c r="O162" s="4">
        <v>11</v>
      </c>
      <c r="P162" s="4">
        <v>602002.31999999995</v>
      </c>
      <c r="Q162" s="4">
        <v>110453.28</v>
      </c>
    </row>
    <row r="163" spans="1:17" x14ac:dyDescent="0.35">
      <c r="A163" s="4" t="s">
        <v>63</v>
      </c>
      <c r="B163" s="5">
        <v>45717</v>
      </c>
      <c r="C163" s="4" t="s">
        <v>22</v>
      </c>
      <c r="D163" s="4" t="s">
        <v>30</v>
      </c>
      <c r="E163" s="4">
        <v>56918.16</v>
      </c>
      <c r="F163" s="4">
        <v>7015</v>
      </c>
      <c r="G163" s="4">
        <v>0.158</v>
      </c>
      <c r="H163" s="4">
        <v>74.2</v>
      </c>
      <c r="I163" s="4">
        <v>0.2</v>
      </c>
      <c r="J163" s="4">
        <v>0</v>
      </c>
      <c r="K163" s="4">
        <v>3.4</v>
      </c>
      <c r="L163" s="4">
        <v>1</v>
      </c>
      <c r="M163" s="4">
        <v>0</v>
      </c>
      <c r="N163" s="4">
        <v>0</v>
      </c>
      <c r="O163" s="4">
        <v>18</v>
      </c>
      <c r="P163" s="4">
        <v>724216.07</v>
      </c>
      <c r="Q163" s="4">
        <v>100627.56</v>
      </c>
    </row>
    <row r="164" spans="1:17" x14ac:dyDescent="0.35">
      <c r="A164" s="4" t="s">
        <v>63</v>
      </c>
      <c r="B164" s="5">
        <v>45748</v>
      </c>
      <c r="C164" s="4" t="s">
        <v>22</v>
      </c>
      <c r="D164" s="4" t="s">
        <v>30</v>
      </c>
      <c r="E164" s="4">
        <v>23254.57</v>
      </c>
      <c r="F164" s="4">
        <v>3847</v>
      </c>
      <c r="G164" s="4">
        <v>0.159</v>
      </c>
      <c r="H164" s="4">
        <v>93</v>
      </c>
      <c r="I164" s="4">
        <v>5.46</v>
      </c>
      <c r="J164" s="4">
        <v>0</v>
      </c>
      <c r="K164" s="4">
        <v>3.3</v>
      </c>
      <c r="L164" s="4">
        <v>1</v>
      </c>
      <c r="M164" s="4">
        <v>0</v>
      </c>
      <c r="N164" s="4">
        <v>0</v>
      </c>
      <c r="O164" s="4">
        <v>12</v>
      </c>
      <c r="P164" s="4">
        <v>620973.03</v>
      </c>
      <c r="Q164" s="4">
        <v>72303.850000000006</v>
      </c>
    </row>
    <row r="165" spans="1:17" x14ac:dyDescent="0.35">
      <c r="A165" s="4" t="s">
        <v>64</v>
      </c>
      <c r="B165" s="5">
        <v>45658</v>
      </c>
      <c r="C165" s="4" t="s">
        <v>26</v>
      </c>
      <c r="D165" s="4" t="s">
        <v>20</v>
      </c>
      <c r="E165" s="4">
        <v>41443.410000000003</v>
      </c>
      <c r="F165" s="4">
        <v>7455</v>
      </c>
      <c r="G165" s="4">
        <v>0.17499999999999999</v>
      </c>
      <c r="H165" s="4">
        <v>90.1</v>
      </c>
      <c r="I165" s="4">
        <v>4.05</v>
      </c>
      <c r="J165" s="4">
        <v>0</v>
      </c>
      <c r="K165" s="4">
        <v>4</v>
      </c>
      <c r="L165" s="4">
        <v>0</v>
      </c>
      <c r="M165" s="4">
        <v>0</v>
      </c>
      <c r="N165" s="4">
        <v>0</v>
      </c>
      <c r="O165" s="4">
        <v>16</v>
      </c>
      <c r="P165" s="4">
        <v>650480.06000000006</v>
      </c>
      <c r="Q165" s="4">
        <v>109012.07</v>
      </c>
    </row>
    <row r="166" spans="1:17" x14ac:dyDescent="0.35">
      <c r="A166" s="4" t="s">
        <v>64</v>
      </c>
      <c r="B166" s="5">
        <v>45689</v>
      </c>
      <c r="C166" s="4" t="s">
        <v>26</v>
      </c>
      <c r="D166" s="4" t="s">
        <v>20</v>
      </c>
      <c r="E166" s="4">
        <v>48438.85</v>
      </c>
      <c r="F166" s="4">
        <v>6992</v>
      </c>
      <c r="G166" s="4">
        <v>3.4000000000000002E-2</v>
      </c>
      <c r="H166" s="4">
        <v>91</v>
      </c>
      <c r="I166" s="4">
        <v>4.3600000000000003</v>
      </c>
      <c r="J166" s="4">
        <v>0</v>
      </c>
      <c r="K166" s="4">
        <v>4.2</v>
      </c>
      <c r="L166" s="4">
        <v>0</v>
      </c>
      <c r="M166" s="4">
        <v>0</v>
      </c>
      <c r="N166" s="4">
        <v>0</v>
      </c>
      <c r="O166" s="4">
        <v>20</v>
      </c>
      <c r="P166" s="4">
        <v>778298.88</v>
      </c>
      <c r="Q166" s="4">
        <v>130076.72</v>
      </c>
    </row>
    <row r="167" spans="1:17" x14ac:dyDescent="0.35">
      <c r="A167" s="4" t="s">
        <v>64</v>
      </c>
      <c r="B167" s="5">
        <v>45717</v>
      </c>
      <c r="C167" s="4" t="s">
        <v>26</v>
      </c>
      <c r="D167" s="4" t="s">
        <v>20</v>
      </c>
      <c r="E167" s="4">
        <v>57143.3</v>
      </c>
      <c r="F167" s="4">
        <v>8038</v>
      </c>
      <c r="G167" s="4">
        <v>0.193</v>
      </c>
      <c r="H167" s="4">
        <v>72.599999999999994</v>
      </c>
      <c r="I167" s="4">
        <v>3.3650000000000002</v>
      </c>
      <c r="J167" s="4">
        <v>0</v>
      </c>
      <c r="K167" s="4">
        <v>4.2</v>
      </c>
      <c r="L167" s="4">
        <v>0</v>
      </c>
      <c r="M167" s="4">
        <v>0</v>
      </c>
      <c r="N167" s="4">
        <v>0</v>
      </c>
      <c r="O167" s="4">
        <v>17</v>
      </c>
      <c r="P167" s="4">
        <v>677096.71</v>
      </c>
      <c r="Q167" s="4">
        <v>97174.11</v>
      </c>
    </row>
    <row r="168" spans="1:17" x14ac:dyDescent="0.35">
      <c r="A168" s="4" t="s">
        <v>64</v>
      </c>
      <c r="B168" s="5">
        <v>45748</v>
      </c>
      <c r="C168" s="4" t="s">
        <v>26</v>
      </c>
      <c r="D168" s="4" t="s">
        <v>20</v>
      </c>
      <c r="E168" s="4">
        <v>66870.62</v>
      </c>
      <c r="F168" s="4">
        <v>6055</v>
      </c>
      <c r="G168" s="4">
        <v>7.4999999999999997E-2</v>
      </c>
      <c r="H168" s="4">
        <v>93.8</v>
      </c>
      <c r="I168" s="4">
        <v>0.54</v>
      </c>
      <c r="J168" s="4">
        <v>0</v>
      </c>
      <c r="K168" s="4">
        <v>4.3</v>
      </c>
      <c r="L168" s="4">
        <v>0</v>
      </c>
      <c r="M168" s="4">
        <v>0</v>
      </c>
      <c r="N168" s="4">
        <v>0</v>
      </c>
      <c r="O168" s="4">
        <v>19</v>
      </c>
      <c r="P168" s="4">
        <v>692008.64</v>
      </c>
      <c r="Q168" s="4">
        <v>116337.87</v>
      </c>
    </row>
    <row r="169" spans="1:17" x14ac:dyDescent="0.35">
      <c r="A169" s="4" t="s">
        <v>65</v>
      </c>
      <c r="B169" s="5">
        <v>45658</v>
      </c>
      <c r="C169" s="4" t="s">
        <v>22</v>
      </c>
      <c r="D169" s="4" t="s">
        <v>30</v>
      </c>
      <c r="E169" s="4">
        <v>72150.53</v>
      </c>
      <c r="F169" s="4">
        <v>9323</v>
      </c>
      <c r="G169" s="4">
        <v>0.157</v>
      </c>
      <c r="H169" s="4">
        <v>82.9</v>
      </c>
      <c r="I169" s="4">
        <v>11.37</v>
      </c>
      <c r="J169" s="4">
        <v>1</v>
      </c>
      <c r="K169" s="4">
        <v>4.3</v>
      </c>
      <c r="L169" s="4">
        <v>1</v>
      </c>
      <c r="M169" s="4">
        <v>0</v>
      </c>
      <c r="N169" s="4">
        <v>0</v>
      </c>
      <c r="O169" s="4">
        <v>22</v>
      </c>
      <c r="P169" s="4">
        <v>825797.91</v>
      </c>
      <c r="Q169" s="4">
        <v>130945.24</v>
      </c>
    </row>
    <row r="170" spans="1:17" x14ac:dyDescent="0.35">
      <c r="A170" s="4" t="s">
        <v>65</v>
      </c>
      <c r="B170" s="5">
        <v>45689</v>
      </c>
      <c r="C170" s="4" t="s">
        <v>22</v>
      </c>
      <c r="D170" s="4" t="s">
        <v>30</v>
      </c>
      <c r="E170" s="4">
        <v>35303.300000000003</v>
      </c>
      <c r="F170" s="4">
        <v>8789</v>
      </c>
      <c r="G170" s="4">
        <v>0.123</v>
      </c>
      <c r="H170" s="4">
        <v>86.1</v>
      </c>
      <c r="I170" s="4">
        <v>9.43</v>
      </c>
      <c r="J170" s="4">
        <v>0</v>
      </c>
      <c r="K170" s="4">
        <v>4.2</v>
      </c>
      <c r="L170" s="4">
        <v>1</v>
      </c>
      <c r="M170" s="4">
        <v>0</v>
      </c>
      <c r="N170" s="4">
        <v>0</v>
      </c>
      <c r="O170" s="4">
        <v>22</v>
      </c>
      <c r="P170" s="4">
        <v>706285.52</v>
      </c>
      <c r="Q170" s="4">
        <v>138014.72</v>
      </c>
    </row>
    <row r="171" spans="1:17" x14ac:dyDescent="0.35">
      <c r="A171" s="4" t="s">
        <v>65</v>
      </c>
      <c r="B171" s="5">
        <v>45717</v>
      </c>
      <c r="C171" s="4" t="s">
        <v>22</v>
      </c>
      <c r="D171" s="4" t="s">
        <v>30</v>
      </c>
      <c r="E171" s="4">
        <v>30301.86</v>
      </c>
      <c r="F171" s="4">
        <v>6939</v>
      </c>
      <c r="G171" s="4">
        <v>0.09</v>
      </c>
      <c r="H171" s="4">
        <v>90.3</v>
      </c>
      <c r="I171" s="4">
        <v>3.49</v>
      </c>
      <c r="J171" s="4">
        <v>0</v>
      </c>
      <c r="K171" s="4">
        <v>4</v>
      </c>
      <c r="L171" s="4">
        <v>1</v>
      </c>
      <c r="M171" s="4">
        <v>0</v>
      </c>
      <c r="N171" s="4">
        <v>0</v>
      </c>
      <c r="O171" s="4">
        <v>16</v>
      </c>
      <c r="P171" s="4">
        <v>665534.69999999995</v>
      </c>
      <c r="Q171" s="4">
        <v>113167.73</v>
      </c>
    </row>
    <row r="172" spans="1:17" x14ac:dyDescent="0.35">
      <c r="A172" s="4" t="s">
        <v>65</v>
      </c>
      <c r="B172" s="5">
        <v>45748</v>
      </c>
      <c r="C172" s="4" t="s">
        <v>22</v>
      </c>
      <c r="D172" s="4" t="s">
        <v>30</v>
      </c>
      <c r="E172" s="4">
        <v>78432.14</v>
      </c>
      <c r="F172" s="4">
        <v>9440</v>
      </c>
      <c r="G172" s="4">
        <v>0.126</v>
      </c>
      <c r="H172" s="4">
        <v>89.2</v>
      </c>
      <c r="I172" s="4">
        <v>7.86</v>
      </c>
      <c r="J172" s="4">
        <v>0</v>
      </c>
      <c r="K172" s="4">
        <v>4.0999999999999996</v>
      </c>
      <c r="L172" s="4">
        <v>1</v>
      </c>
      <c r="M172" s="4">
        <v>0</v>
      </c>
      <c r="N172" s="4">
        <v>0</v>
      </c>
      <c r="O172" s="4">
        <v>23</v>
      </c>
      <c r="P172" s="4">
        <v>820729.29</v>
      </c>
      <c r="Q172" s="4">
        <v>159325.47</v>
      </c>
    </row>
    <row r="173" spans="1:17" x14ac:dyDescent="0.35">
      <c r="A173" s="4" t="s">
        <v>66</v>
      </c>
      <c r="B173" s="5">
        <v>45658</v>
      </c>
      <c r="C173" s="4" t="s">
        <v>17</v>
      </c>
      <c r="D173" s="4" t="s">
        <v>18</v>
      </c>
      <c r="E173" s="4">
        <v>62059.18</v>
      </c>
      <c r="F173" s="4">
        <v>9374</v>
      </c>
      <c r="G173" s="4">
        <v>0.13600000000000001</v>
      </c>
      <c r="H173" s="4">
        <v>87.1</v>
      </c>
      <c r="I173" s="4">
        <v>12.55</v>
      </c>
      <c r="J173" s="4">
        <v>0</v>
      </c>
      <c r="K173" s="4">
        <v>4.9000000000000004</v>
      </c>
      <c r="L173" s="4">
        <v>0</v>
      </c>
      <c r="M173" s="4">
        <v>1</v>
      </c>
      <c r="N173" s="4">
        <v>0</v>
      </c>
      <c r="O173" s="4">
        <v>25</v>
      </c>
      <c r="P173" s="4">
        <v>739831.73</v>
      </c>
      <c r="Q173" s="4">
        <v>119490.21</v>
      </c>
    </row>
    <row r="174" spans="1:17" x14ac:dyDescent="0.35">
      <c r="A174" s="4" t="s">
        <v>66</v>
      </c>
      <c r="B174" s="5">
        <v>45689</v>
      </c>
      <c r="C174" s="4" t="s">
        <v>17</v>
      </c>
      <c r="D174" s="4" t="s">
        <v>18</v>
      </c>
      <c r="E174" s="4">
        <v>32834.480000000003</v>
      </c>
      <c r="F174" s="4">
        <v>7576</v>
      </c>
      <c r="G174" s="4">
        <v>9.9000000000000005E-2</v>
      </c>
      <c r="H174" s="4">
        <v>84.1</v>
      </c>
      <c r="I174" s="4">
        <v>3.48</v>
      </c>
      <c r="J174" s="4">
        <v>0</v>
      </c>
      <c r="K174" s="4">
        <v>5</v>
      </c>
      <c r="L174" s="4">
        <v>0</v>
      </c>
      <c r="M174" s="4">
        <v>1</v>
      </c>
      <c r="N174" s="4">
        <v>0</v>
      </c>
      <c r="O174" s="4">
        <v>15</v>
      </c>
      <c r="P174" s="4">
        <v>593637.14</v>
      </c>
      <c r="Q174" s="4">
        <v>106648.14</v>
      </c>
    </row>
    <row r="175" spans="1:17" x14ac:dyDescent="0.35">
      <c r="A175" s="4" t="s">
        <v>66</v>
      </c>
      <c r="B175" s="5">
        <v>45717</v>
      </c>
      <c r="C175" s="4" t="s">
        <v>17</v>
      </c>
      <c r="D175" s="4" t="s">
        <v>18</v>
      </c>
      <c r="E175" s="4">
        <v>50825.08</v>
      </c>
      <c r="F175" s="4">
        <v>8949</v>
      </c>
      <c r="G175" s="4">
        <v>0.157</v>
      </c>
      <c r="H175" s="4">
        <v>84.7</v>
      </c>
      <c r="I175" s="4">
        <v>7.73</v>
      </c>
      <c r="J175" s="4">
        <v>0</v>
      </c>
      <c r="K175" s="4">
        <v>4.9000000000000004</v>
      </c>
      <c r="L175" s="4">
        <v>0</v>
      </c>
      <c r="M175" s="4">
        <v>1</v>
      </c>
      <c r="N175" s="4">
        <v>0</v>
      </c>
      <c r="O175" s="4">
        <v>21</v>
      </c>
      <c r="P175" s="4">
        <v>769702.76</v>
      </c>
      <c r="Q175" s="4">
        <v>158697</v>
      </c>
    </row>
    <row r="176" spans="1:17" x14ac:dyDescent="0.35">
      <c r="A176" s="4" t="s">
        <v>66</v>
      </c>
      <c r="B176" s="5">
        <v>45748</v>
      </c>
      <c r="C176" s="4" t="s">
        <v>17</v>
      </c>
      <c r="D176" s="4" t="s">
        <v>18</v>
      </c>
      <c r="E176" s="4">
        <v>36606.51</v>
      </c>
      <c r="F176" s="4">
        <v>7671</v>
      </c>
      <c r="G176" s="4">
        <v>0.11799999999999999</v>
      </c>
      <c r="H176" s="4">
        <v>89.8</v>
      </c>
      <c r="I176" s="4">
        <v>0.25</v>
      </c>
      <c r="J176" s="4">
        <v>0</v>
      </c>
      <c r="K176" s="4">
        <v>4.4000000000000004</v>
      </c>
      <c r="L176" s="4">
        <v>0</v>
      </c>
      <c r="M176" s="4">
        <v>1</v>
      </c>
      <c r="N176" s="4">
        <v>0</v>
      </c>
      <c r="O176" s="4">
        <v>18</v>
      </c>
      <c r="P176" s="4">
        <v>679731.57</v>
      </c>
      <c r="Q176" s="4">
        <v>121546.42</v>
      </c>
    </row>
    <row r="177" spans="1:17" x14ac:dyDescent="0.35">
      <c r="A177" s="4" t="s">
        <v>67</v>
      </c>
      <c r="B177" s="5">
        <v>45658</v>
      </c>
      <c r="C177" s="4" t="s">
        <v>17</v>
      </c>
      <c r="D177" s="4" t="s">
        <v>18</v>
      </c>
      <c r="E177" s="4">
        <v>65237.79</v>
      </c>
      <c r="F177" s="4">
        <v>8741</v>
      </c>
      <c r="G177" s="4">
        <v>0.157</v>
      </c>
      <c r="H177" s="4">
        <v>94.4</v>
      </c>
      <c r="I177" s="4">
        <v>6.43</v>
      </c>
      <c r="J177" s="4">
        <v>0</v>
      </c>
      <c r="K177" s="4">
        <v>3.3</v>
      </c>
      <c r="L177" s="4">
        <v>0</v>
      </c>
      <c r="M177" s="4">
        <v>1</v>
      </c>
      <c r="N177" s="4">
        <v>0</v>
      </c>
      <c r="O177" s="4">
        <v>20</v>
      </c>
      <c r="P177" s="4">
        <v>780344.18</v>
      </c>
      <c r="Q177" s="4">
        <v>118239.09</v>
      </c>
    </row>
    <row r="178" spans="1:17" x14ac:dyDescent="0.35">
      <c r="A178" s="4" t="s">
        <v>67</v>
      </c>
      <c r="B178" s="5">
        <v>45689</v>
      </c>
      <c r="C178" s="4" t="s">
        <v>17</v>
      </c>
      <c r="D178" s="4" t="s">
        <v>18</v>
      </c>
      <c r="E178" s="4">
        <v>43645.98</v>
      </c>
      <c r="F178" s="4">
        <v>9480</v>
      </c>
      <c r="G178" s="4">
        <v>0.109</v>
      </c>
      <c r="H178" s="4">
        <v>89</v>
      </c>
      <c r="I178" s="4">
        <v>2.11</v>
      </c>
      <c r="J178" s="4">
        <v>0</v>
      </c>
      <c r="K178" s="4">
        <v>3.1</v>
      </c>
      <c r="L178" s="4">
        <v>0</v>
      </c>
      <c r="M178" s="4">
        <v>1</v>
      </c>
      <c r="N178" s="4">
        <v>0</v>
      </c>
      <c r="O178" s="4">
        <v>22</v>
      </c>
      <c r="P178" s="4">
        <v>721364.11</v>
      </c>
      <c r="Q178" s="4">
        <v>147272.81</v>
      </c>
    </row>
    <row r="179" spans="1:17" x14ac:dyDescent="0.35">
      <c r="A179" s="4" t="s">
        <v>67</v>
      </c>
      <c r="B179" s="5">
        <v>45717</v>
      </c>
      <c r="C179" s="4" t="s">
        <v>17</v>
      </c>
      <c r="D179" s="4" t="s">
        <v>18</v>
      </c>
      <c r="E179" s="4">
        <v>68040.149999999994</v>
      </c>
      <c r="F179" s="4">
        <v>9826</v>
      </c>
      <c r="G179" s="4">
        <v>0.125</v>
      </c>
      <c r="H179" s="4">
        <v>83.9</v>
      </c>
      <c r="I179" s="4">
        <v>9.1199999999999992</v>
      </c>
      <c r="J179" s="4">
        <v>0</v>
      </c>
      <c r="K179" s="4">
        <v>3.6</v>
      </c>
      <c r="L179" s="4">
        <v>0</v>
      </c>
      <c r="M179" s="4">
        <v>1</v>
      </c>
      <c r="N179" s="4">
        <v>0</v>
      </c>
      <c r="O179" s="4">
        <v>20</v>
      </c>
      <c r="P179" s="4">
        <v>758138.29</v>
      </c>
      <c r="Q179" s="4">
        <v>132975.26</v>
      </c>
    </row>
    <row r="180" spans="1:17" x14ac:dyDescent="0.35">
      <c r="A180" s="4" t="s">
        <v>67</v>
      </c>
      <c r="B180" s="5">
        <v>45748</v>
      </c>
      <c r="C180" s="4" t="s">
        <v>17</v>
      </c>
      <c r="D180" s="4" t="s">
        <v>18</v>
      </c>
      <c r="E180" s="4">
        <v>63043.94</v>
      </c>
      <c r="F180" s="4">
        <v>10402</v>
      </c>
      <c r="G180" s="4">
        <v>0.159</v>
      </c>
      <c r="H180" s="4">
        <v>93.9</v>
      </c>
      <c r="I180" s="4">
        <v>2.71</v>
      </c>
      <c r="J180" s="4">
        <v>0</v>
      </c>
      <c r="K180" s="4">
        <v>3.1</v>
      </c>
      <c r="L180" s="4">
        <v>0</v>
      </c>
      <c r="M180" s="4">
        <v>1</v>
      </c>
      <c r="N180" s="4">
        <v>0</v>
      </c>
      <c r="O180" s="4">
        <v>23</v>
      </c>
      <c r="P180" s="4">
        <v>804264</v>
      </c>
      <c r="Q180" s="4">
        <v>167117.91</v>
      </c>
    </row>
    <row r="181" spans="1:17" x14ac:dyDescent="0.35">
      <c r="A181" s="4" t="s">
        <v>68</v>
      </c>
      <c r="B181" s="5">
        <v>45658</v>
      </c>
      <c r="C181" s="4" t="s">
        <v>29</v>
      </c>
      <c r="D181" s="4" t="s">
        <v>23</v>
      </c>
      <c r="E181" s="4">
        <v>67494.09</v>
      </c>
      <c r="F181" s="4">
        <v>12361</v>
      </c>
      <c r="G181" s="4">
        <v>4.5999999999999999E-2</v>
      </c>
      <c r="H181" s="4">
        <v>76.599999999999994</v>
      </c>
      <c r="I181" s="4">
        <v>3.65</v>
      </c>
      <c r="J181" s="4">
        <v>1</v>
      </c>
      <c r="K181" s="4">
        <v>3.7</v>
      </c>
      <c r="L181" s="4">
        <v>0</v>
      </c>
      <c r="M181" s="4">
        <v>0</v>
      </c>
      <c r="N181" s="4">
        <v>1</v>
      </c>
      <c r="O181" s="4">
        <v>24</v>
      </c>
      <c r="P181" s="4">
        <v>887537.75</v>
      </c>
      <c r="Q181" s="4">
        <v>160362.92000000001</v>
      </c>
    </row>
    <row r="182" spans="1:17" x14ac:dyDescent="0.35">
      <c r="A182" s="4" t="s">
        <v>68</v>
      </c>
      <c r="B182" s="5">
        <v>45689</v>
      </c>
      <c r="C182" s="4" t="s">
        <v>29</v>
      </c>
      <c r="D182" s="4" t="s">
        <v>23</v>
      </c>
      <c r="E182" s="4">
        <v>29389.32</v>
      </c>
      <c r="F182" s="4">
        <v>7925</v>
      </c>
      <c r="G182" s="4">
        <v>0.17699999999999999</v>
      </c>
      <c r="H182" s="4">
        <v>90.9</v>
      </c>
      <c r="I182" s="4">
        <v>7.86</v>
      </c>
      <c r="J182" s="4">
        <v>0</v>
      </c>
      <c r="K182" s="4">
        <v>4</v>
      </c>
      <c r="L182" s="4">
        <v>0</v>
      </c>
      <c r="M182" s="4">
        <v>0</v>
      </c>
      <c r="N182" s="4">
        <v>1</v>
      </c>
      <c r="O182" s="4">
        <v>21</v>
      </c>
      <c r="P182" s="4">
        <v>783582</v>
      </c>
      <c r="Q182" s="4">
        <v>130670.93</v>
      </c>
    </row>
    <row r="183" spans="1:17" x14ac:dyDescent="0.35">
      <c r="A183" s="4" t="s">
        <v>68</v>
      </c>
      <c r="B183" s="5">
        <v>45717</v>
      </c>
      <c r="C183" s="4" t="s">
        <v>29</v>
      </c>
      <c r="D183" s="4" t="s">
        <v>23</v>
      </c>
      <c r="E183" s="4">
        <v>40535.089999999997</v>
      </c>
      <c r="F183" s="4">
        <v>8870</v>
      </c>
      <c r="G183" s="4">
        <v>4.1000000000000002E-2</v>
      </c>
      <c r="H183" s="4">
        <v>86.6</v>
      </c>
      <c r="I183" s="4">
        <v>0.3</v>
      </c>
      <c r="J183" s="4">
        <v>0</v>
      </c>
      <c r="K183" s="4">
        <v>4.0999999999999996</v>
      </c>
      <c r="L183" s="4">
        <v>0</v>
      </c>
      <c r="M183" s="4">
        <v>0</v>
      </c>
      <c r="N183" s="4">
        <v>1</v>
      </c>
      <c r="O183" s="4">
        <v>21</v>
      </c>
      <c r="P183" s="4">
        <v>781955.52</v>
      </c>
      <c r="Q183" s="4">
        <v>152578.71</v>
      </c>
    </row>
    <row r="184" spans="1:17" x14ac:dyDescent="0.35">
      <c r="A184" s="4" t="s">
        <v>68</v>
      </c>
      <c r="B184" s="5">
        <v>45748</v>
      </c>
      <c r="C184" s="4" t="s">
        <v>29</v>
      </c>
      <c r="D184" s="4" t="s">
        <v>23</v>
      </c>
      <c r="E184" s="4">
        <v>74881.56</v>
      </c>
      <c r="F184" s="4">
        <v>9999</v>
      </c>
      <c r="G184" s="4">
        <v>1.2999999999999999E-2</v>
      </c>
      <c r="H184" s="4">
        <v>89.6</v>
      </c>
      <c r="I184" s="4">
        <v>8.44</v>
      </c>
      <c r="J184" s="4">
        <v>0</v>
      </c>
      <c r="K184" s="4">
        <v>4.0999999999999996</v>
      </c>
      <c r="L184" s="4">
        <v>0</v>
      </c>
      <c r="M184" s="4">
        <v>0</v>
      </c>
      <c r="N184" s="4">
        <v>1</v>
      </c>
      <c r="O184" s="4">
        <v>20</v>
      </c>
      <c r="P184" s="4">
        <v>898031.04</v>
      </c>
      <c r="Q184" s="4">
        <v>138666.5</v>
      </c>
    </row>
    <row r="185" spans="1:17" x14ac:dyDescent="0.35">
      <c r="A185" s="4" t="s">
        <v>69</v>
      </c>
      <c r="B185" s="5">
        <v>45658</v>
      </c>
      <c r="C185" s="4" t="s">
        <v>29</v>
      </c>
      <c r="D185" s="4" t="s">
        <v>18</v>
      </c>
      <c r="E185" s="4">
        <v>68491.11</v>
      </c>
      <c r="F185" s="4">
        <v>11154</v>
      </c>
      <c r="G185" s="4">
        <v>1E-3</v>
      </c>
      <c r="H185" s="4">
        <v>89.4</v>
      </c>
      <c r="I185" s="4">
        <v>5.27</v>
      </c>
      <c r="J185" s="4">
        <v>1</v>
      </c>
      <c r="K185" s="4">
        <v>3.9</v>
      </c>
      <c r="L185" s="4">
        <v>0</v>
      </c>
      <c r="M185" s="4">
        <v>1</v>
      </c>
      <c r="N185" s="4">
        <v>0</v>
      </c>
      <c r="O185" s="4">
        <v>24</v>
      </c>
      <c r="P185" s="4">
        <v>855341.28</v>
      </c>
      <c r="Q185" s="4">
        <v>175823.8</v>
      </c>
    </row>
    <row r="186" spans="1:17" x14ac:dyDescent="0.35">
      <c r="A186" s="4" t="s">
        <v>69</v>
      </c>
      <c r="B186" s="5">
        <v>45689</v>
      </c>
      <c r="C186" s="4" t="s">
        <v>29</v>
      </c>
      <c r="D186" s="4" t="s">
        <v>18</v>
      </c>
      <c r="E186" s="4">
        <v>45209.25</v>
      </c>
      <c r="F186" s="4">
        <v>9287</v>
      </c>
      <c r="G186" s="4">
        <v>0.14099999999999999</v>
      </c>
      <c r="H186" s="4">
        <v>86.4</v>
      </c>
      <c r="I186" s="4">
        <v>13.22</v>
      </c>
      <c r="J186" s="4">
        <v>0</v>
      </c>
      <c r="K186" s="4">
        <v>3.6</v>
      </c>
      <c r="L186" s="4">
        <v>0</v>
      </c>
      <c r="M186" s="4">
        <v>1</v>
      </c>
      <c r="N186" s="4">
        <v>0</v>
      </c>
      <c r="O186" s="4">
        <v>22</v>
      </c>
      <c r="P186" s="4">
        <v>751393.88</v>
      </c>
      <c r="Q186" s="4">
        <v>91480.320000000007</v>
      </c>
    </row>
    <row r="187" spans="1:17" x14ac:dyDescent="0.35">
      <c r="A187" s="4" t="s">
        <v>69</v>
      </c>
      <c r="B187" s="5">
        <v>45717</v>
      </c>
      <c r="C187" s="4" t="s">
        <v>29</v>
      </c>
      <c r="D187" s="4" t="s">
        <v>18</v>
      </c>
      <c r="E187" s="4">
        <v>63010.23</v>
      </c>
      <c r="F187" s="4">
        <v>9812</v>
      </c>
      <c r="G187" s="4">
        <v>0.113</v>
      </c>
      <c r="H187" s="4">
        <v>76.8</v>
      </c>
      <c r="I187" s="4">
        <v>1.02</v>
      </c>
      <c r="J187" s="4">
        <v>1</v>
      </c>
      <c r="K187" s="4">
        <v>3.8</v>
      </c>
      <c r="L187" s="4">
        <v>0</v>
      </c>
      <c r="M187" s="4">
        <v>1</v>
      </c>
      <c r="N187" s="4">
        <v>0</v>
      </c>
      <c r="O187" s="4">
        <v>24</v>
      </c>
      <c r="P187" s="4">
        <v>761077.08</v>
      </c>
      <c r="Q187" s="4">
        <v>113605.93</v>
      </c>
    </row>
    <row r="188" spans="1:17" x14ac:dyDescent="0.35">
      <c r="A188" s="4" t="s">
        <v>69</v>
      </c>
      <c r="B188" s="5">
        <v>45748</v>
      </c>
      <c r="C188" s="4" t="s">
        <v>29</v>
      </c>
      <c r="D188" s="4" t="s">
        <v>18</v>
      </c>
      <c r="E188" s="4">
        <v>57948.88</v>
      </c>
      <c r="F188" s="4">
        <v>10741</v>
      </c>
      <c r="G188" s="4">
        <v>7.0000000000000007E-2</v>
      </c>
      <c r="H188" s="4">
        <v>90.1</v>
      </c>
      <c r="I188" s="4">
        <v>4.03</v>
      </c>
      <c r="J188" s="4">
        <v>0</v>
      </c>
      <c r="K188" s="4">
        <v>3.1</v>
      </c>
      <c r="L188" s="4">
        <v>0</v>
      </c>
      <c r="M188" s="4">
        <v>1</v>
      </c>
      <c r="N188" s="4">
        <v>0</v>
      </c>
      <c r="O188" s="4">
        <v>25</v>
      </c>
      <c r="P188" s="4">
        <v>819660.59</v>
      </c>
      <c r="Q188" s="4">
        <v>172699.95</v>
      </c>
    </row>
    <row r="189" spans="1:17" x14ac:dyDescent="0.35">
      <c r="A189" s="4" t="s">
        <v>70</v>
      </c>
      <c r="B189" s="5">
        <v>45658</v>
      </c>
      <c r="C189" s="4" t="s">
        <v>22</v>
      </c>
      <c r="D189" s="4" t="s">
        <v>20</v>
      </c>
      <c r="E189" s="4">
        <v>71941.62</v>
      </c>
      <c r="F189" s="4">
        <v>6084</v>
      </c>
      <c r="G189" s="4">
        <v>7.1999999999999995E-2</v>
      </c>
      <c r="H189" s="4">
        <v>93.7</v>
      </c>
      <c r="I189" s="4">
        <v>2.34</v>
      </c>
      <c r="J189" s="4">
        <v>0</v>
      </c>
      <c r="K189" s="4">
        <v>4.4000000000000004</v>
      </c>
      <c r="L189" s="4">
        <v>0</v>
      </c>
      <c r="M189" s="4">
        <v>0</v>
      </c>
      <c r="N189" s="4">
        <v>0</v>
      </c>
      <c r="O189" s="4">
        <v>13</v>
      </c>
      <c r="P189" s="4">
        <v>681855.56</v>
      </c>
      <c r="Q189" s="4">
        <v>117645.61</v>
      </c>
    </row>
    <row r="190" spans="1:17" x14ac:dyDescent="0.35">
      <c r="A190" s="4" t="s">
        <v>70</v>
      </c>
      <c r="B190" s="5">
        <v>45689</v>
      </c>
      <c r="C190" s="4" t="s">
        <v>22</v>
      </c>
      <c r="D190" s="4" t="s">
        <v>20</v>
      </c>
      <c r="E190" s="4">
        <v>57147.88</v>
      </c>
      <c r="F190" s="4">
        <v>5252</v>
      </c>
      <c r="G190" s="4">
        <v>0.161</v>
      </c>
      <c r="H190" s="4">
        <v>95.5</v>
      </c>
      <c r="I190" s="4">
        <v>8.51</v>
      </c>
      <c r="J190" s="4">
        <v>0</v>
      </c>
      <c r="K190" s="4">
        <v>4.4000000000000004</v>
      </c>
      <c r="L190" s="4">
        <v>0</v>
      </c>
      <c r="M190" s="4">
        <v>0</v>
      </c>
      <c r="N190" s="4">
        <v>0</v>
      </c>
      <c r="O190" s="4">
        <v>15</v>
      </c>
      <c r="P190" s="4">
        <v>678311.17</v>
      </c>
      <c r="Q190" s="4">
        <v>132029.76000000001</v>
      </c>
    </row>
    <row r="191" spans="1:17" x14ac:dyDescent="0.35">
      <c r="A191" s="4" t="s">
        <v>70</v>
      </c>
      <c r="B191" s="5">
        <v>45717</v>
      </c>
      <c r="C191" s="4" t="s">
        <v>22</v>
      </c>
      <c r="D191" s="4" t="s">
        <v>20</v>
      </c>
      <c r="E191" s="4">
        <v>48031.74</v>
      </c>
      <c r="F191" s="4">
        <v>6516</v>
      </c>
      <c r="G191" s="4">
        <v>6.7000000000000004E-2</v>
      </c>
      <c r="H191" s="4">
        <v>99</v>
      </c>
      <c r="I191" s="4">
        <v>0.48</v>
      </c>
      <c r="J191" s="4">
        <v>1</v>
      </c>
      <c r="K191" s="4">
        <v>4.3</v>
      </c>
      <c r="L191" s="4">
        <v>0</v>
      </c>
      <c r="M191" s="4">
        <v>0</v>
      </c>
      <c r="N191" s="4">
        <v>0</v>
      </c>
      <c r="O191" s="4">
        <v>14</v>
      </c>
      <c r="P191" s="4">
        <v>765906.95</v>
      </c>
      <c r="Q191" s="4">
        <v>114005.9</v>
      </c>
    </row>
    <row r="192" spans="1:17" x14ac:dyDescent="0.35">
      <c r="A192" s="4" t="s">
        <v>70</v>
      </c>
      <c r="B192" s="5">
        <v>45748</v>
      </c>
      <c r="C192" s="4" t="s">
        <v>22</v>
      </c>
      <c r="D192" s="4" t="s">
        <v>20</v>
      </c>
      <c r="E192" s="4">
        <v>72784.800000000003</v>
      </c>
      <c r="F192" s="4">
        <v>7932</v>
      </c>
      <c r="G192" s="4">
        <v>9.4E-2</v>
      </c>
      <c r="H192" s="4">
        <v>74.900000000000006</v>
      </c>
      <c r="I192" s="4">
        <v>13.62</v>
      </c>
      <c r="J192" s="4">
        <v>0</v>
      </c>
      <c r="K192" s="4">
        <v>4.2</v>
      </c>
      <c r="L192" s="4">
        <v>0</v>
      </c>
      <c r="M192" s="4">
        <v>0</v>
      </c>
      <c r="N192" s="4">
        <v>0</v>
      </c>
      <c r="O192" s="4">
        <v>20</v>
      </c>
      <c r="P192" s="4">
        <v>712546.38</v>
      </c>
      <c r="Q192" s="4">
        <v>101480.04</v>
      </c>
    </row>
    <row r="193" spans="1:17" x14ac:dyDescent="0.35">
      <c r="A193" s="4" t="s">
        <v>71</v>
      </c>
      <c r="B193" s="5">
        <v>45658</v>
      </c>
      <c r="C193" s="4" t="s">
        <v>17</v>
      </c>
      <c r="D193" s="4" t="s">
        <v>20</v>
      </c>
      <c r="E193" s="4">
        <v>71641.899999999994</v>
      </c>
      <c r="F193" s="4">
        <v>3506</v>
      </c>
      <c r="G193" s="4">
        <v>0</v>
      </c>
      <c r="H193" s="4">
        <v>86.4</v>
      </c>
      <c r="I193" s="4">
        <v>7.77</v>
      </c>
      <c r="J193" s="4">
        <v>0</v>
      </c>
      <c r="K193" s="4">
        <v>4.0999999999999996</v>
      </c>
      <c r="L193" s="4">
        <v>0</v>
      </c>
      <c r="M193" s="4">
        <v>0</v>
      </c>
      <c r="N193" s="4">
        <v>0</v>
      </c>
      <c r="O193" s="4">
        <v>11</v>
      </c>
      <c r="P193" s="4">
        <v>625993.82999999996</v>
      </c>
      <c r="Q193" s="4">
        <v>98960.320000000007</v>
      </c>
    </row>
    <row r="194" spans="1:17" x14ac:dyDescent="0.35">
      <c r="A194" s="4" t="s">
        <v>71</v>
      </c>
      <c r="B194" s="5">
        <v>45689</v>
      </c>
      <c r="C194" s="4" t="s">
        <v>17</v>
      </c>
      <c r="D194" s="4" t="s">
        <v>20</v>
      </c>
      <c r="E194" s="4">
        <v>55788.61</v>
      </c>
      <c r="F194" s="4">
        <v>2312</v>
      </c>
      <c r="G194" s="4">
        <v>5.8000000000000003E-2</v>
      </c>
      <c r="H194" s="4">
        <v>91.3</v>
      </c>
      <c r="I194" s="4">
        <v>1.99</v>
      </c>
      <c r="J194" s="4">
        <v>0</v>
      </c>
      <c r="K194" s="4">
        <v>3.8</v>
      </c>
      <c r="L194" s="4">
        <v>0</v>
      </c>
      <c r="M194" s="4">
        <v>0</v>
      </c>
      <c r="N194" s="4">
        <v>0</v>
      </c>
      <c r="O194" s="4">
        <v>10</v>
      </c>
      <c r="P194" s="4">
        <v>550962.93000000005</v>
      </c>
      <c r="Q194" s="4">
        <v>97144.58</v>
      </c>
    </row>
    <row r="195" spans="1:17" x14ac:dyDescent="0.35">
      <c r="A195" s="4" t="s">
        <v>71</v>
      </c>
      <c r="B195" s="5">
        <v>45717</v>
      </c>
      <c r="C195" s="4" t="s">
        <v>17</v>
      </c>
      <c r="D195" s="4" t="s">
        <v>20</v>
      </c>
      <c r="E195" s="4">
        <v>37705.879999999997</v>
      </c>
      <c r="F195" s="4">
        <v>1268</v>
      </c>
      <c r="G195" s="4">
        <v>0.25900000000000001</v>
      </c>
      <c r="H195" s="4">
        <v>84.1</v>
      </c>
      <c r="I195" s="4">
        <v>4.7699999999999996</v>
      </c>
      <c r="J195" s="4">
        <v>0</v>
      </c>
      <c r="K195" s="4">
        <v>3.8</v>
      </c>
      <c r="L195" s="4">
        <v>0</v>
      </c>
      <c r="M195" s="4">
        <v>0</v>
      </c>
      <c r="N195" s="4">
        <v>0</v>
      </c>
      <c r="O195" s="4">
        <v>9</v>
      </c>
      <c r="P195" s="4">
        <v>443275.59</v>
      </c>
      <c r="Q195" s="4">
        <v>53544.36</v>
      </c>
    </row>
    <row r="196" spans="1:17" x14ac:dyDescent="0.35">
      <c r="A196" s="4" t="s">
        <v>71</v>
      </c>
      <c r="B196" s="5">
        <v>45748</v>
      </c>
      <c r="C196" s="4" t="s">
        <v>17</v>
      </c>
      <c r="D196" s="4" t="s">
        <v>20</v>
      </c>
      <c r="E196" s="4">
        <v>54966.18</v>
      </c>
      <c r="F196" s="4">
        <v>4423</v>
      </c>
      <c r="G196" s="4">
        <v>0.186</v>
      </c>
      <c r="H196" s="4">
        <v>88.7</v>
      </c>
      <c r="I196" s="4">
        <v>0.2</v>
      </c>
      <c r="J196" s="4">
        <v>0</v>
      </c>
      <c r="K196" s="4">
        <v>4.4000000000000004</v>
      </c>
      <c r="L196" s="4">
        <v>0</v>
      </c>
      <c r="M196" s="4">
        <v>0</v>
      </c>
      <c r="N196" s="4">
        <v>0</v>
      </c>
      <c r="O196" s="4">
        <v>13</v>
      </c>
      <c r="P196" s="4">
        <v>554012.06999999995</v>
      </c>
      <c r="Q196" s="4">
        <v>81101.62</v>
      </c>
    </row>
    <row r="197" spans="1:17" x14ac:dyDescent="0.35">
      <c r="A197" s="4" t="s">
        <v>72</v>
      </c>
      <c r="B197" s="5">
        <v>45658</v>
      </c>
      <c r="C197" s="4" t="s">
        <v>29</v>
      </c>
      <c r="D197" s="4" t="s">
        <v>18</v>
      </c>
      <c r="E197" s="4">
        <v>81796.740000000005</v>
      </c>
      <c r="F197" s="4">
        <v>6177</v>
      </c>
      <c r="G197" s="4">
        <v>0.16400000000000001</v>
      </c>
      <c r="H197" s="4">
        <v>87.9</v>
      </c>
      <c r="I197" s="4">
        <v>0.53</v>
      </c>
      <c r="J197" s="4">
        <v>0</v>
      </c>
      <c r="K197" s="4">
        <v>3.2</v>
      </c>
      <c r="L197" s="4">
        <v>0</v>
      </c>
      <c r="M197" s="4">
        <v>1</v>
      </c>
      <c r="N197" s="4">
        <v>0</v>
      </c>
      <c r="O197" s="4">
        <v>14</v>
      </c>
      <c r="P197" s="4">
        <v>643428.85</v>
      </c>
      <c r="Q197" s="4">
        <v>94477.63</v>
      </c>
    </row>
    <row r="198" spans="1:17" x14ac:dyDescent="0.35">
      <c r="A198" s="4" t="s">
        <v>72</v>
      </c>
      <c r="B198" s="5">
        <v>45689</v>
      </c>
      <c r="C198" s="4" t="s">
        <v>29</v>
      </c>
      <c r="D198" s="4" t="s">
        <v>18</v>
      </c>
      <c r="E198" s="4">
        <v>51133.43</v>
      </c>
      <c r="F198" s="4">
        <v>5150</v>
      </c>
      <c r="G198" s="4">
        <v>0.15</v>
      </c>
      <c r="H198" s="4">
        <v>88.5</v>
      </c>
      <c r="I198" s="4">
        <v>1.54</v>
      </c>
      <c r="J198" s="4">
        <v>0</v>
      </c>
      <c r="K198" s="4">
        <v>3.2</v>
      </c>
      <c r="L198" s="4">
        <v>0</v>
      </c>
      <c r="M198" s="4">
        <v>1</v>
      </c>
      <c r="N198" s="4">
        <v>0</v>
      </c>
      <c r="O198" s="4">
        <v>12</v>
      </c>
      <c r="P198" s="4">
        <v>611924.27</v>
      </c>
      <c r="Q198" s="4">
        <v>115488.75</v>
      </c>
    </row>
    <row r="199" spans="1:17" x14ac:dyDescent="0.35">
      <c r="A199" s="4" t="s">
        <v>72</v>
      </c>
      <c r="B199" s="5">
        <v>45717</v>
      </c>
      <c r="C199" s="4" t="s">
        <v>29</v>
      </c>
      <c r="D199" s="4" t="s">
        <v>18</v>
      </c>
      <c r="E199" s="4">
        <v>40220.18</v>
      </c>
      <c r="F199" s="4">
        <v>3783</v>
      </c>
      <c r="G199" s="4">
        <v>8.8999999999999996E-2</v>
      </c>
      <c r="H199" s="4">
        <v>86.6</v>
      </c>
      <c r="I199" s="4">
        <v>3.63</v>
      </c>
      <c r="J199" s="4">
        <v>0</v>
      </c>
      <c r="K199" s="4">
        <v>3.7</v>
      </c>
      <c r="L199" s="4">
        <v>0</v>
      </c>
      <c r="M199" s="4">
        <v>1</v>
      </c>
      <c r="N199" s="4">
        <v>0</v>
      </c>
      <c r="O199" s="4">
        <v>14</v>
      </c>
      <c r="P199" s="4">
        <v>559422.02</v>
      </c>
      <c r="Q199" s="4">
        <v>73528.740000000005</v>
      </c>
    </row>
    <row r="200" spans="1:17" x14ac:dyDescent="0.35">
      <c r="A200" s="4" t="s">
        <v>72</v>
      </c>
      <c r="B200" s="5">
        <v>45748</v>
      </c>
      <c r="C200" s="4" t="s">
        <v>29</v>
      </c>
      <c r="D200" s="4" t="s">
        <v>18</v>
      </c>
      <c r="E200" s="4">
        <v>41657.64</v>
      </c>
      <c r="F200" s="4">
        <v>3135</v>
      </c>
      <c r="G200" s="4">
        <v>0.22900000000000001</v>
      </c>
      <c r="H200" s="4">
        <v>85.4</v>
      </c>
      <c r="I200" s="4">
        <v>13.48</v>
      </c>
      <c r="J200" s="4">
        <v>0</v>
      </c>
      <c r="K200" s="4">
        <v>3.9</v>
      </c>
      <c r="L200" s="4">
        <v>0</v>
      </c>
      <c r="M200" s="4">
        <v>1</v>
      </c>
      <c r="N200" s="4">
        <v>0</v>
      </c>
      <c r="O200" s="4">
        <v>7</v>
      </c>
      <c r="P200" s="4">
        <v>449465.06</v>
      </c>
      <c r="Q200" s="4">
        <v>65694.78</v>
      </c>
    </row>
    <row r="201" spans="1:17" x14ac:dyDescent="0.35">
      <c r="A201" s="4" t="s">
        <v>73</v>
      </c>
      <c r="B201" s="5">
        <v>45658</v>
      </c>
      <c r="C201" s="4" t="s">
        <v>22</v>
      </c>
      <c r="D201" s="4" t="s">
        <v>18</v>
      </c>
      <c r="E201" s="4">
        <v>71851.45</v>
      </c>
      <c r="F201" s="4">
        <v>4970</v>
      </c>
      <c r="G201" s="4">
        <v>9.8000000000000004E-2</v>
      </c>
      <c r="H201" s="4">
        <v>89.6</v>
      </c>
      <c r="I201" s="4">
        <v>0.2</v>
      </c>
      <c r="J201" s="4">
        <v>0</v>
      </c>
      <c r="K201" s="4">
        <v>4.2</v>
      </c>
      <c r="L201" s="4">
        <v>0</v>
      </c>
      <c r="M201" s="4">
        <v>1</v>
      </c>
      <c r="N201" s="4">
        <v>0</v>
      </c>
      <c r="O201" s="4">
        <v>11</v>
      </c>
      <c r="P201" s="4">
        <v>691447.43</v>
      </c>
      <c r="Q201" s="4">
        <v>114077.69</v>
      </c>
    </row>
    <row r="202" spans="1:17" x14ac:dyDescent="0.35">
      <c r="A202" s="4" t="s">
        <v>73</v>
      </c>
      <c r="B202" s="5">
        <v>45689</v>
      </c>
      <c r="C202" s="4" t="s">
        <v>22</v>
      </c>
      <c r="D202" s="4" t="s">
        <v>18</v>
      </c>
      <c r="E202" s="4">
        <v>54002.83</v>
      </c>
      <c r="F202" s="4">
        <v>4366</v>
      </c>
      <c r="G202" s="4">
        <v>2.7E-2</v>
      </c>
      <c r="H202" s="4">
        <v>90.6</v>
      </c>
      <c r="I202" s="4">
        <v>12.82</v>
      </c>
      <c r="J202" s="4">
        <v>0</v>
      </c>
      <c r="K202" s="4">
        <v>4.5999999999999996</v>
      </c>
      <c r="L202" s="4">
        <v>0</v>
      </c>
      <c r="M202" s="4">
        <v>1</v>
      </c>
      <c r="N202" s="4">
        <v>0</v>
      </c>
      <c r="O202" s="4">
        <v>15</v>
      </c>
      <c r="P202" s="4">
        <v>574066.61</v>
      </c>
      <c r="Q202" s="4">
        <v>124674.67</v>
      </c>
    </row>
    <row r="203" spans="1:17" x14ac:dyDescent="0.35">
      <c r="A203" s="4" t="s">
        <v>73</v>
      </c>
      <c r="B203" s="5">
        <v>45717</v>
      </c>
      <c r="C203" s="4" t="s">
        <v>22</v>
      </c>
      <c r="D203" s="4" t="s">
        <v>18</v>
      </c>
      <c r="E203" s="4">
        <v>54479.33</v>
      </c>
      <c r="F203" s="4">
        <v>5012</v>
      </c>
      <c r="G203" s="4">
        <v>0.28399999999999997</v>
      </c>
      <c r="H203" s="4">
        <v>86</v>
      </c>
      <c r="I203" s="4">
        <v>2.2400000000000002</v>
      </c>
      <c r="J203" s="4">
        <v>1</v>
      </c>
      <c r="K203" s="4">
        <v>4.3</v>
      </c>
      <c r="L203" s="4">
        <v>0</v>
      </c>
      <c r="M203" s="4">
        <v>1</v>
      </c>
      <c r="N203" s="4">
        <v>0</v>
      </c>
      <c r="O203" s="4">
        <v>13</v>
      </c>
      <c r="P203" s="4">
        <v>578949.84</v>
      </c>
      <c r="Q203" s="4">
        <v>80253.649999999994</v>
      </c>
    </row>
    <row r="204" spans="1:17" x14ac:dyDescent="0.35">
      <c r="A204" s="4" t="s">
        <v>73</v>
      </c>
      <c r="B204" s="5">
        <v>45748</v>
      </c>
      <c r="C204" s="4" t="s">
        <v>22</v>
      </c>
      <c r="D204" s="4" t="s">
        <v>18</v>
      </c>
      <c r="E204" s="4">
        <v>61391.8</v>
      </c>
      <c r="F204" s="4">
        <v>5575</v>
      </c>
      <c r="G204" s="4">
        <v>0.189</v>
      </c>
      <c r="H204" s="4">
        <v>90</v>
      </c>
      <c r="I204" s="4">
        <v>1.8</v>
      </c>
      <c r="J204" s="4">
        <v>0</v>
      </c>
      <c r="K204" s="4">
        <v>4.8</v>
      </c>
      <c r="L204" s="4">
        <v>0</v>
      </c>
      <c r="M204" s="4">
        <v>1</v>
      </c>
      <c r="N204" s="4">
        <v>0</v>
      </c>
      <c r="O204" s="4">
        <v>18</v>
      </c>
      <c r="P204" s="4">
        <v>735786.64</v>
      </c>
      <c r="Q204" s="4">
        <v>126540.66</v>
      </c>
    </row>
    <row r="205" spans="1:17" x14ac:dyDescent="0.35">
      <c r="A205" s="4" t="s">
        <v>74</v>
      </c>
      <c r="B205" s="5">
        <v>45658</v>
      </c>
      <c r="C205" s="4" t="s">
        <v>17</v>
      </c>
      <c r="D205" s="4" t="s">
        <v>23</v>
      </c>
      <c r="E205" s="4">
        <v>22312.93</v>
      </c>
      <c r="F205" s="4">
        <v>5955</v>
      </c>
      <c r="G205" s="4">
        <v>0.123</v>
      </c>
      <c r="H205" s="4">
        <v>84.2</v>
      </c>
      <c r="I205" s="4">
        <v>0.41</v>
      </c>
      <c r="J205" s="4">
        <v>1</v>
      </c>
      <c r="K205" s="4">
        <v>4.5999999999999996</v>
      </c>
      <c r="L205" s="4">
        <v>0</v>
      </c>
      <c r="M205" s="4">
        <v>0</v>
      </c>
      <c r="N205" s="4">
        <v>1</v>
      </c>
      <c r="O205" s="4">
        <v>13</v>
      </c>
      <c r="P205" s="4">
        <v>598904.9</v>
      </c>
      <c r="Q205" s="4">
        <v>72861</v>
      </c>
    </row>
    <row r="206" spans="1:17" x14ac:dyDescent="0.35">
      <c r="A206" s="4" t="s">
        <v>74</v>
      </c>
      <c r="B206" s="5">
        <v>45689</v>
      </c>
      <c r="C206" s="4" t="s">
        <v>17</v>
      </c>
      <c r="D206" s="4" t="s">
        <v>23</v>
      </c>
      <c r="E206" s="4">
        <v>78111.97</v>
      </c>
      <c r="F206" s="4">
        <v>6389</v>
      </c>
      <c r="G206" s="4">
        <v>0.15</v>
      </c>
      <c r="H206" s="4">
        <v>83.9</v>
      </c>
      <c r="I206" s="4">
        <v>3.05</v>
      </c>
      <c r="J206" s="4">
        <v>0</v>
      </c>
      <c r="K206" s="4">
        <v>4.8</v>
      </c>
      <c r="L206" s="4">
        <v>0</v>
      </c>
      <c r="M206" s="4">
        <v>0</v>
      </c>
      <c r="N206" s="4">
        <v>1</v>
      </c>
      <c r="O206" s="4">
        <v>13</v>
      </c>
      <c r="P206" s="4">
        <v>787715.51</v>
      </c>
      <c r="Q206" s="4">
        <v>128969.62</v>
      </c>
    </row>
    <row r="207" spans="1:17" x14ac:dyDescent="0.35">
      <c r="A207" s="4" t="s">
        <v>74</v>
      </c>
      <c r="B207" s="5">
        <v>45717</v>
      </c>
      <c r="C207" s="4" t="s">
        <v>17</v>
      </c>
      <c r="D207" s="4" t="s">
        <v>23</v>
      </c>
      <c r="E207" s="4">
        <v>35203.230000000003</v>
      </c>
      <c r="F207" s="4">
        <v>6896</v>
      </c>
      <c r="G207" s="4">
        <v>3.2000000000000001E-2</v>
      </c>
      <c r="H207" s="4">
        <v>80.8</v>
      </c>
      <c r="I207" s="4">
        <v>8.44</v>
      </c>
      <c r="J207" s="4">
        <v>1</v>
      </c>
      <c r="K207" s="4">
        <v>5</v>
      </c>
      <c r="L207" s="4">
        <v>0</v>
      </c>
      <c r="M207" s="4">
        <v>0</v>
      </c>
      <c r="N207" s="4">
        <v>1</v>
      </c>
      <c r="O207" s="4">
        <v>14</v>
      </c>
      <c r="P207" s="4">
        <v>607084.92000000004</v>
      </c>
      <c r="Q207" s="4">
        <v>98558.49</v>
      </c>
    </row>
    <row r="208" spans="1:17" x14ac:dyDescent="0.35">
      <c r="A208" s="4" t="s">
        <v>74</v>
      </c>
      <c r="B208" s="5">
        <v>45748</v>
      </c>
      <c r="C208" s="4" t="s">
        <v>17</v>
      </c>
      <c r="D208" s="4" t="s">
        <v>23</v>
      </c>
      <c r="E208" s="4">
        <v>64104.28</v>
      </c>
      <c r="F208" s="4">
        <v>6015</v>
      </c>
      <c r="G208" s="4">
        <v>0.127</v>
      </c>
      <c r="H208" s="4">
        <v>88.7</v>
      </c>
      <c r="I208" s="4">
        <v>0.78</v>
      </c>
      <c r="J208" s="4">
        <v>0</v>
      </c>
      <c r="K208" s="4">
        <v>4</v>
      </c>
      <c r="L208" s="4">
        <v>0</v>
      </c>
      <c r="M208" s="4">
        <v>0</v>
      </c>
      <c r="N208" s="4">
        <v>1</v>
      </c>
      <c r="O208" s="4">
        <v>15</v>
      </c>
      <c r="P208" s="4">
        <v>650795.49</v>
      </c>
      <c r="Q208" s="4">
        <v>103035.89</v>
      </c>
    </row>
    <row r="209" spans="1:17" x14ac:dyDescent="0.35">
      <c r="A209" s="4" t="s">
        <v>75</v>
      </c>
      <c r="B209" s="5">
        <v>45658</v>
      </c>
      <c r="C209" s="4" t="s">
        <v>17</v>
      </c>
      <c r="D209" s="4" t="s">
        <v>30</v>
      </c>
      <c r="E209" s="4">
        <v>92090.14</v>
      </c>
      <c r="F209" s="4">
        <v>9476</v>
      </c>
      <c r="G209" s="4">
        <v>7.0000000000000007E-2</v>
      </c>
      <c r="H209" s="4">
        <v>94.3</v>
      </c>
      <c r="I209" s="4">
        <v>0.87</v>
      </c>
      <c r="J209" s="4">
        <v>0</v>
      </c>
      <c r="K209" s="4">
        <v>3.7</v>
      </c>
      <c r="L209" s="4">
        <v>1</v>
      </c>
      <c r="M209" s="4">
        <v>0</v>
      </c>
      <c r="N209" s="4">
        <v>0</v>
      </c>
      <c r="O209" s="4">
        <v>24</v>
      </c>
      <c r="P209" s="4">
        <v>825060.52</v>
      </c>
      <c r="Q209" s="4">
        <v>143613.15</v>
      </c>
    </row>
    <row r="210" spans="1:17" x14ac:dyDescent="0.35">
      <c r="A210" s="4" t="s">
        <v>75</v>
      </c>
      <c r="B210" s="5">
        <v>45689</v>
      </c>
      <c r="C210" s="4" t="s">
        <v>17</v>
      </c>
      <c r="D210" s="4" t="s">
        <v>30</v>
      </c>
      <c r="E210" s="4">
        <v>54300.87</v>
      </c>
      <c r="F210" s="4">
        <v>7875</v>
      </c>
      <c r="G210" s="4">
        <v>0.107</v>
      </c>
      <c r="H210" s="4">
        <v>94.1</v>
      </c>
      <c r="I210" s="4">
        <v>0.95</v>
      </c>
      <c r="J210" s="4">
        <v>0</v>
      </c>
      <c r="K210" s="4">
        <v>3.7</v>
      </c>
      <c r="L210" s="4">
        <v>1</v>
      </c>
      <c r="M210" s="4">
        <v>0</v>
      </c>
      <c r="N210" s="4">
        <v>0</v>
      </c>
      <c r="O210" s="4">
        <v>19</v>
      </c>
      <c r="P210" s="4">
        <v>795464.47</v>
      </c>
      <c r="Q210" s="4">
        <v>161150.51999999999</v>
      </c>
    </row>
    <row r="211" spans="1:17" x14ac:dyDescent="0.35">
      <c r="A211" s="4" t="s">
        <v>75</v>
      </c>
      <c r="B211" s="5">
        <v>45717</v>
      </c>
      <c r="C211" s="4" t="s">
        <v>17</v>
      </c>
      <c r="D211" s="4" t="s">
        <v>30</v>
      </c>
      <c r="E211" s="4">
        <v>37983.35</v>
      </c>
      <c r="F211" s="4">
        <v>9283</v>
      </c>
      <c r="G211" s="4">
        <v>0.14899999999999999</v>
      </c>
      <c r="H211" s="4">
        <v>83.2</v>
      </c>
      <c r="I211" s="4">
        <v>3.82</v>
      </c>
      <c r="J211" s="4">
        <v>0</v>
      </c>
      <c r="K211" s="4">
        <v>3.7</v>
      </c>
      <c r="L211" s="4">
        <v>1</v>
      </c>
      <c r="M211" s="4">
        <v>0</v>
      </c>
      <c r="N211" s="4">
        <v>0</v>
      </c>
      <c r="O211" s="4">
        <v>19</v>
      </c>
      <c r="P211" s="4">
        <v>671868.59</v>
      </c>
      <c r="Q211" s="4">
        <v>71003.28</v>
      </c>
    </row>
    <row r="212" spans="1:17" x14ac:dyDescent="0.35">
      <c r="A212" s="4" t="s">
        <v>75</v>
      </c>
      <c r="B212" s="5">
        <v>45748</v>
      </c>
      <c r="C212" s="4" t="s">
        <v>17</v>
      </c>
      <c r="D212" s="4" t="s">
        <v>30</v>
      </c>
      <c r="E212" s="4">
        <v>56413.83</v>
      </c>
      <c r="F212" s="4">
        <v>8303</v>
      </c>
      <c r="G212" s="4">
        <v>0.11600000000000001</v>
      </c>
      <c r="H212" s="4">
        <v>93.6</v>
      </c>
      <c r="I212" s="4">
        <v>2.7</v>
      </c>
      <c r="J212" s="4">
        <v>0</v>
      </c>
      <c r="K212" s="4">
        <v>3.7</v>
      </c>
      <c r="L212" s="4">
        <v>1</v>
      </c>
      <c r="M212" s="4">
        <v>0</v>
      </c>
      <c r="N212" s="4">
        <v>0</v>
      </c>
      <c r="O212" s="4">
        <v>18</v>
      </c>
      <c r="P212" s="4">
        <v>675917.63</v>
      </c>
      <c r="Q212" s="4">
        <v>112564.75</v>
      </c>
    </row>
    <row r="213" spans="1:17" x14ac:dyDescent="0.35">
      <c r="A213" s="4" t="s">
        <v>76</v>
      </c>
      <c r="B213" s="5">
        <v>45658</v>
      </c>
      <c r="C213" s="4" t="s">
        <v>17</v>
      </c>
      <c r="D213" s="4" t="s">
        <v>20</v>
      </c>
      <c r="E213" s="4">
        <v>63457.19</v>
      </c>
      <c r="F213" s="4">
        <v>10125</v>
      </c>
      <c r="G213" s="4">
        <v>9.7000000000000003E-2</v>
      </c>
      <c r="H213" s="4">
        <v>87</v>
      </c>
      <c r="I213" s="4">
        <v>3.84</v>
      </c>
      <c r="J213" s="4">
        <v>1</v>
      </c>
      <c r="K213" s="4">
        <v>3.7</v>
      </c>
      <c r="L213" s="4">
        <v>0</v>
      </c>
      <c r="M213" s="4">
        <v>0</v>
      </c>
      <c r="N213" s="4">
        <v>0</v>
      </c>
      <c r="O213" s="4">
        <v>24</v>
      </c>
      <c r="P213" s="4">
        <v>810446.53</v>
      </c>
      <c r="Q213" s="4">
        <v>200575.34</v>
      </c>
    </row>
    <row r="214" spans="1:17" x14ac:dyDescent="0.35">
      <c r="A214" s="4" t="s">
        <v>76</v>
      </c>
      <c r="B214" s="5">
        <v>45689</v>
      </c>
      <c r="C214" s="4" t="s">
        <v>17</v>
      </c>
      <c r="D214" s="4" t="s">
        <v>20</v>
      </c>
      <c r="E214" s="4">
        <v>62949.7</v>
      </c>
      <c r="F214" s="4">
        <v>9458</v>
      </c>
      <c r="G214" s="4">
        <v>0.17100000000000001</v>
      </c>
      <c r="H214" s="4">
        <v>84.9</v>
      </c>
      <c r="I214" s="4">
        <v>5.09</v>
      </c>
      <c r="J214" s="4">
        <v>0</v>
      </c>
      <c r="K214" s="4">
        <v>3.3</v>
      </c>
      <c r="L214" s="4">
        <v>0</v>
      </c>
      <c r="M214" s="4">
        <v>0</v>
      </c>
      <c r="N214" s="4">
        <v>0</v>
      </c>
      <c r="O214" s="4">
        <v>19</v>
      </c>
      <c r="P214" s="4">
        <v>691288.19</v>
      </c>
      <c r="Q214" s="4">
        <v>159074.14000000001</v>
      </c>
    </row>
    <row r="215" spans="1:17" x14ac:dyDescent="0.35">
      <c r="A215" s="4" t="s">
        <v>76</v>
      </c>
      <c r="B215" s="5">
        <v>45717</v>
      </c>
      <c r="C215" s="4" t="s">
        <v>17</v>
      </c>
      <c r="D215" s="4" t="s">
        <v>20</v>
      </c>
      <c r="E215" s="4">
        <v>107970.19</v>
      </c>
      <c r="F215" s="4">
        <v>12870</v>
      </c>
      <c r="G215" s="4">
        <v>2.9000000000000001E-2</v>
      </c>
      <c r="H215" s="4">
        <v>91.7</v>
      </c>
      <c r="I215" s="4">
        <v>3.82</v>
      </c>
      <c r="J215" s="4">
        <v>1</v>
      </c>
      <c r="K215" s="4">
        <v>3.7</v>
      </c>
      <c r="L215" s="4">
        <v>0</v>
      </c>
      <c r="M215" s="4">
        <v>0</v>
      </c>
      <c r="N215" s="4">
        <v>0</v>
      </c>
      <c r="O215" s="4">
        <v>31</v>
      </c>
      <c r="P215" s="4">
        <v>946833.54</v>
      </c>
      <c r="Q215" s="4">
        <v>184540.31</v>
      </c>
    </row>
    <row r="216" spans="1:17" x14ac:dyDescent="0.35">
      <c r="A216" s="4" t="s">
        <v>76</v>
      </c>
      <c r="B216" s="5">
        <v>45748</v>
      </c>
      <c r="C216" s="4" t="s">
        <v>17</v>
      </c>
      <c r="D216" s="4" t="s">
        <v>20</v>
      </c>
      <c r="E216" s="4">
        <v>49405.75</v>
      </c>
      <c r="F216" s="4">
        <v>9752</v>
      </c>
      <c r="G216" s="4">
        <v>9.2999999999999999E-2</v>
      </c>
      <c r="H216" s="4">
        <v>87</v>
      </c>
      <c r="I216" s="4">
        <v>12.28</v>
      </c>
      <c r="J216" s="4">
        <v>0</v>
      </c>
      <c r="K216" s="4">
        <v>4.0999999999999996</v>
      </c>
      <c r="L216" s="4">
        <v>0</v>
      </c>
      <c r="M216" s="4">
        <v>0</v>
      </c>
      <c r="N216" s="4">
        <v>0</v>
      </c>
      <c r="O216" s="4">
        <v>21</v>
      </c>
      <c r="P216" s="4">
        <v>761963.23</v>
      </c>
      <c r="Q216" s="4">
        <v>150113.60999999999</v>
      </c>
    </row>
    <row r="217" spans="1:17" x14ac:dyDescent="0.35">
      <c r="A217" s="4" t="s">
        <v>77</v>
      </c>
      <c r="B217" s="5">
        <v>45658</v>
      </c>
      <c r="C217" s="4" t="s">
        <v>29</v>
      </c>
      <c r="D217" s="4" t="s">
        <v>18</v>
      </c>
      <c r="E217" s="4">
        <v>50887.46</v>
      </c>
      <c r="F217" s="4">
        <v>9505</v>
      </c>
      <c r="G217" s="4">
        <v>9.0999999999999998E-2</v>
      </c>
      <c r="H217" s="4">
        <v>89.7</v>
      </c>
      <c r="I217" s="4">
        <v>2.8</v>
      </c>
      <c r="J217" s="4">
        <v>0</v>
      </c>
      <c r="K217" s="4">
        <v>4.3</v>
      </c>
      <c r="L217" s="4">
        <v>0</v>
      </c>
      <c r="M217" s="4">
        <v>1</v>
      </c>
      <c r="N217" s="4">
        <v>0</v>
      </c>
      <c r="O217" s="4">
        <v>25</v>
      </c>
      <c r="P217" s="4">
        <v>812152.6</v>
      </c>
      <c r="Q217" s="4">
        <v>138419.43</v>
      </c>
    </row>
    <row r="218" spans="1:17" x14ac:dyDescent="0.35">
      <c r="A218" s="4" t="s">
        <v>77</v>
      </c>
      <c r="B218" s="5">
        <v>45689</v>
      </c>
      <c r="C218" s="4" t="s">
        <v>29</v>
      </c>
      <c r="D218" s="4" t="s">
        <v>18</v>
      </c>
      <c r="E218" s="4">
        <v>41819.449999999997</v>
      </c>
      <c r="F218" s="4">
        <v>9412</v>
      </c>
      <c r="G218" s="4">
        <v>0.15</v>
      </c>
      <c r="H218" s="4">
        <v>91</v>
      </c>
      <c r="I218" s="4">
        <v>3.67</v>
      </c>
      <c r="J218" s="4">
        <v>0</v>
      </c>
      <c r="K218" s="4">
        <v>4.2</v>
      </c>
      <c r="L218" s="4">
        <v>0</v>
      </c>
      <c r="M218" s="4">
        <v>1</v>
      </c>
      <c r="N218" s="4">
        <v>0</v>
      </c>
      <c r="O218" s="4">
        <v>22</v>
      </c>
      <c r="P218" s="4">
        <v>804975.5</v>
      </c>
      <c r="Q218" s="4">
        <v>140054.5</v>
      </c>
    </row>
    <row r="219" spans="1:17" x14ac:dyDescent="0.35">
      <c r="A219" s="4" t="s">
        <v>77</v>
      </c>
      <c r="B219" s="5">
        <v>45717</v>
      </c>
      <c r="C219" s="4" t="s">
        <v>29</v>
      </c>
      <c r="D219" s="4" t="s">
        <v>18</v>
      </c>
      <c r="E219" s="4">
        <v>35296.54</v>
      </c>
      <c r="F219" s="4">
        <v>9644</v>
      </c>
      <c r="G219" s="4">
        <v>0</v>
      </c>
      <c r="H219" s="4">
        <v>88</v>
      </c>
      <c r="I219" s="4">
        <v>2.81</v>
      </c>
      <c r="J219" s="4">
        <v>0</v>
      </c>
      <c r="K219" s="4">
        <v>4.7</v>
      </c>
      <c r="L219" s="4">
        <v>0</v>
      </c>
      <c r="M219" s="4">
        <v>1</v>
      </c>
      <c r="N219" s="4">
        <v>0</v>
      </c>
      <c r="O219" s="4">
        <v>22</v>
      </c>
      <c r="P219" s="4">
        <v>752321.72</v>
      </c>
      <c r="Q219" s="4">
        <v>137788.51</v>
      </c>
    </row>
    <row r="220" spans="1:17" x14ac:dyDescent="0.35">
      <c r="A220" s="4" t="s">
        <v>77</v>
      </c>
      <c r="B220" s="5">
        <v>45748</v>
      </c>
      <c r="C220" s="4" t="s">
        <v>29</v>
      </c>
      <c r="D220" s="4" t="s">
        <v>18</v>
      </c>
      <c r="E220" s="4">
        <v>47391.09</v>
      </c>
      <c r="F220" s="4">
        <v>11224</v>
      </c>
      <c r="G220" s="4">
        <v>0.14699999999999999</v>
      </c>
      <c r="H220" s="4">
        <v>88.4</v>
      </c>
      <c r="I220" s="4">
        <v>2.44</v>
      </c>
      <c r="J220" s="4">
        <v>0</v>
      </c>
      <c r="K220" s="4">
        <v>4.9000000000000004</v>
      </c>
      <c r="L220" s="4">
        <v>0</v>
      </c>
      <c r="M220" s="4">
        <v>1</v>
      </c>
      <c r="N220" s="4">
        <v>0</v>
      </c>
      <c r="O220" s="4">
        <v>25</v>
      </c>
      <c r="P220" s="4">
        <v>836908.24</v>
      </c>
      <c r="Q220" s="4">
        <v>141090.26</v>
      </c>
    </row>
    <row r="221" spans="1:17" x14ac:dyDescent="0.35">
      <c r="A221" s="4" t="s">
        <v>78</v>
      </c>
      <c r="B221" s="5">
        <v>45658</v>
      </c>
      <c r="C221" s="4" t="s">
        <v>22</v>
      </c>
      <c r="D221" s="4" t="s">
        <v>23</v>
      </c>
      <c r="E221" s="4">
        <v>69180.539999999994</v>
      </c>
      <c r="F221" s="4">
        <v>5394</v>
      </c>
      <c r="G221" s="4">
        <v>0.126</v>
      </c>
      <c r="H221" s="4">
        <v>82.9</v>
      </c>
      <c r="I221" s="4">
        <v>3.27</v>
      </c>
      <c r="J221" s="4">
        <v>0</v>
      </c>
      <c r="K221" s="4">
        <v>3.3</v>
      </c>
      <c r="L221" s="4">
        <v>0</v>
      </c>
      <c r="M221" s="4">
        <v>0</v>
      </c>
      <c r="N221" s="4">
        <v>1</v>
      </c>
      <c r="O221" s="4">
        <v>12</v>
      </c>
      <c r="P221" s="4">
        <v>674289.1</v>
      </c>
      <c r="Q221" s="4">
        <v>117773.79</v>
      </c>
    </row>
    <row r="222" spans="1:17" x14ac:dyDescent="0.35">
      <c r="A222" s="4" t="s">
        <v>78</v>
      </c>
      <c r="B222" s="5">
        <v>45689</v>
      </c>
      <c r="C222" s="4" t="s">
        <v>22</v>
      </c>
      <c r="D222" s="4" t="s">
        <v>23</v>
      </c>
      <c r="E222" s="4">
        <v>33987.33</v>
      </c>
      <c r="F222" s="4">
        <v>5014</v>
      </c>
      <c r="G222" s="4">
        <v>0.246</v>
      </c>
      <c r="H222" s="4">
        <v>94.3</v>
      </c>
      <c r="I222" s="4">
        <v>10.34</v>
      </c>
      <c r="J222" s="4">
        <v>0</v>
      </c>
      <c r="K222" s="4">
        <v>3.9</v>
      </c>
      <c r="L222" s="4">
        <v>0</v>
      </c>
      <c r="M222" s="4">
        <v>0</v>
      </c>
      <c r="N222" s="4">
        <v>1</v>
      </c>
      <c r="O222" s="4">
        <v>17</v>
      </c>
      <c r="P222" s="4">
        <v>622892.42000000004</v>
      </c>
      <c r="Q222" s="4">
        <v>101032.52</v>
      </c>
    </row>
    <row r="223" spans="1:17" x14ac:dyDescent="0.35">
      <c r="A223" s="4" t="s">
        <v>78</v>
      </c>
      <c r="B223" s="5">
        <v>45717</v>
      </c>
      <c r="C223" s="4" t="s">
        <v>22</v>
      </c>
      <c r="D223" s="4" t="s">
        <v>23</v>
      </c>
      <c r="E223" s="4">
        <v>58785.33</v>
      </c>
      <c r="F223" s="4">
        <v>4467</v>
      </c>
      <c r="G223" s="4">
        <v>0.22900000000000001</v>
      </c>
      <c r="H223" s="4">
        <v>90.7</v>
      </c>
      <c r="I223" s="4">
        <v>1.92</v>
      </c>
      <c r="J223" s="4">
        <v>0</v>
      </c>
      <c r="K223" s="4">
        <v>3.7</v>
      </c>
      <c r="L223" s="4">
        <v>0</v>
      </c>
      <c r="M223" s="4">
        <v>0</v>
      </c>
      <c r="N223" s="4">
        <v>1</v>
      </c>
      <c r="O223" s="4">
        <v>14</v>
      </c>
      <c r="P223" s="4">
        <v>673348.56</v>
      </c>
      <c r="Q223" s="4">
        <v>69464.59</v>
      </c>
    </row>
    <row r="224" spans="1:17" x14ac:dyDescent="0.35">
      <c r="A224" s="4" t="s">
        <v>78</v>
      </c>
      <c r="B224" s="5">
        <v>45748</v>
      </c>
      <c r="C224" s="4" t="s">
        <v>22</v>
      </c>
      <c r="D224" s="4" t="s">
        <v>23</v>
      </c>
      <c r="E224" s="4">
        <v>16451.849999999999</v>
      </c>
      <c r="F224" s="4">
        <v>4678</v>
      </c>
      <c r="G224" s="4">
        <v>0.13300000000000001</v>
      </c>
      <c r="H224" s="4">
        <v>95.9</v>
      </c>
      <c r="I224" s="4">
        <v>3.1</v>
      </c>
      <c r="J224" s="4">
        <v>0</v>
      </c>
      <c r="K224" s="4">
        <v>3.9</v>
      </c>
      <c r="L224" s="4">
        <v>0</v>
      </c>
      <c r="M224" s="4">
        <v>0</v>
      </c>
      <c r="N224" s="4">
        <v>1</v>
      </c>
      <c r="O224" s="4">
        <v>11</v>
      </c>
      <c r="P224" s="4">
        <v>606278.30000000005</v>
      </c>
      <c r="Q224" s="4">
        <v>102213.26</v>
      </c>
    </row>
    <row r="225" spans="1:17" x14ac:dyDescent="0.35">
      <c r="A225" s="4" t="s">
        <v>79</v>
      </c>
      <c r="B225" s="5">
        <v>45658</v>
      </c>
      <c r="C225" s="4" t="s">
        <v>17</v>
      </c>
      <c r="D225" s="4" t="s">
        <v>20</v>
      </c>
      <c r="E225" s="4">
        <v>53367.73</v>
      </c>
      <c r="F225" s="4">
        <v>7291</v>
      </c>
      <c r="G225" s="4">
        <v>0.14599999999999999</v>
      </c>
      <c r="H225" s="4">
        <v>90.6</v>
      </c>
      <c r="I225" s="4">
        <v>6.34</v>
      </c>
      <c r="J225" s="4">
        <v>1</v>
      </c>
      <c r="K225" s="4">
        <v>3.8</v>
      </c>
      <c r="L225" s="4">
        <v>0</v>
      </c>
      <c r="M225" s="4">
        <v>0</v>
      </c>
      <c r="N225" s="4">
        <v>0</v>
      </c>
      <c r="O225" s="4">
        <v>18</v>
      </c>
      <c r="P225" s="4">
        <v>712219.81</v>
      </c>
      <c r="Q225" s="4">
        <v>85906.54</v>
      </c>
    </row>
    <row r="226" spans="1:17" x14ac:dyDescent="0.35">
      <c r="A226" s="4" t="s">
        <v>79</v>
      </c>
      <c r="B226" s="5">
        <v>45689</v>
      </c>
      <c r="C226" s="4" t="s">
        <v>17</v>
      </c>
      <c r="D226" s="4" t="s">
        <v>20</v>
      </c>
      <c r="E226" s="4">
        <v>27194.639999999999</v>
      </c>
      <c r="F226" s="4">
        <v>7404</v>
      </c>
      <c r="G226" s="4">
        <v>8.7999999999999995E-2</v>
      </c>
      <c r="H226" s="4">
        <v>90.2</v>
      </c>
      <c r="I226" s="4">
        <v>1.2</v>
      </c>
      <c r="J226" s="4">
        <v>0</v>
      </c>
      <c r="K226" s="4">
        <v>3.4</v>
      </c>
      <c r="L226" s="4">
        <v>0</v>
      </c>
      <c r="M226" s="4">
        <v>0</v>
      </c>
      <c r="N226" s="4">
        <v>0</v>
      </c>
      <c r="O226" s="4">
        <v>18</v>
      </c>
      <c r="P226" s="4">
        <v>672670.54</v>
      </c>
      <c r="Q226" s="4">
        <v>132684.18</v>
      </c>
    </row>
    <row r="227" spans="1:17" x14ac:dyDescent="0.35">
      <c r="A227" s="4" t="s">
        <v>79</v>
      </c>
      <c r="B227" s="5">
        <v>45717</v>
      </c>
      <c r="C227" s="4" t="s">
        <v>17</v>
      </c>
      <c r="D227" s="4" t="s">
        <v>20</v>
      </c>
      <c r="E227" s="4">
        <v>66962.740000000005</v>
      </c>
      <c r="F227" s="4">
        <v>7880</v>
      </c>
      <c r="G227" s="4">
        <v>0.11600000000000001</v>
      </c>
      <c r="H227" s="4">
        <v>90.4</v>
      </c>
      <c r="I227" s="4">
        <v>4.5</v>
      </c>
      <c r="J227" s="4">
        <v>0</v>
      </c>
      <c r="K227" s="4">
        <v>3.3</v>
      </c>
      <c r="L227" s="4">
        <v>0</v>
      </c>
      <c r="M227" s="4">
        <v>0</v>
      </c>
      <c r="N227" s="4">
        <v>0</v>
      </c>
      <c r="O227" s="4">
        <v>19</v>
      </c>
      <c r="P227" s="4">
        <v>732667.92</v>
      </c>
      <c r="Q227" s="4">
        <v>128654.46</v>
      </c>
    </row>
    <row r="228" spans="1:17" x14ac:dyDescent="0.35">
      <c r="A228" s="4" t="s">
        <v>79</v>
      </c>
      <c r="B228" s="5">
        <v>45748</v>
      </c>
      <c r="C228" s="4" t="s">
        <v>17</v>
      </c>
      <c r="D228" s="4" t="s">
        <v>20</v>
      </c>
      <c r="E228" s="4">
        <v>73540.990000000005</v>
      </c>
      <c r="F228" s="4">
        <v>8773</v>
      </c>
      <c r="G228" s="4">
        <v>3.5000000000000003E-2</v>
      </c>
      <c r="H228" s="4">
        <v>84.4</v>
      </c>
      <c r="I228" s="4">
        <v>6.68</v>
      </c>
      <c r="J228" s="4">
        <v>0</v>
      </c>
      <c r="K228" s="4">
        <v>3.6</v>
      </c>
      <c r="L228" s="4">
        <v>0</v>
      </c>
      <c r="M228" s="4">
        <v>0</v>
      </c>
      <c r="N228" s="4">
        <v>0</v>
      </c>
      <c r="O228" s="4">
        <v>21</v>
      </c>
      <c r="P228" s="4">
        <v>723531.4</v>
      </c>
      <c r="Q228" s="4">
        <v>108794.85</v>
      </c>
    </row>
    <row r="229" spans="1:17" x14ac:dyDescent="0.35">
      <c r="A229" s="4" t="s">
        <v>80</v>
      </c>
      <c r="B229" s="5">
        <v>45658</v>
      </c>
      <c r="C229" s="4" t="s">
        <v>17</v>
      </c>
      <c r="D229" s="4" t="s">
        <v>30</v>
      </c>
      <c r="E229" s="4">
        <v>68212.289999999994</v>
      </c>
      <c r="F229" s="4">
        <v>4713</v>
      </c>
      <c r="G229" s="4">
        <v>0.19800000000000001</v>
      </c>
      <c r="H229" s="4">
        <v>82.6</v>
      </c>
      <c r="I229" s="4">
        <v>4.07</v>
      </c>
      <c r="J229" s="4">
        <v>1</v>
      </c>
      <c r="K229" s="4">
        <v>3</v>
      </c>
      <c r="L229" s="4">
        <v>1</v>
      </c>
      <c r="M229" s="4">
        <v>0</v>
      </c>
      <c r="N229" s="4">
        <v>0</v>
      </c>
      <c r="O229" s="4">
        <v>15</v>
      </c>
      <c r="P229" s="4">
        <v>641564.6</v>
      </c>
      <c r="Q229" s="4">
        <v>90468.96</v>
      </c>
    </row>
    <row r="230" spans="1:17" x14ac:dyDescent="0.35">
      <c r="A230" s="4" t="s">
        <v>80</v>
      </c>
      <c r="B230" s="5">
        <v>45689</v>
      </c>
      <c r="C230" s="4" t="s">
        <v>17</v>
      </c>
      <c r="D230" s="4" t="s">
        <v>30</v>
      </c>
      <c r="E230" s="4">
        <v>57225.98</v>
      </c>
      <c r="F230" s="4">
        <v>2842</v>
      </c>
      <c r="G230" s="4">
        <v>0.112</v>
      </c>
      <c r="H230" s="4">
        <v>79.5</v>
      </c>
      <c r="I230" s="4">
        <v>5.45</v>
      </c>
      <c r="J230" s="4">
        <v>0</v>
      </c>
      <c r="K230" s="4">
        <v>3.4</v>
      </c>
      <c r="L230" s="4">
        <v>1</v>
      </c>
      <c r="M230" s="4">
        <v>0</v>
      </c>
      <c r="N230" s="4">
        <v>0</v>
      </c>
      <c r="O230" s="4">
        <v>10</v>
      </c>
      <c r="P230" s="4">
        <v>536545.49</v>
      </c>
      <c r="Q230" s="4">
        <v>97917.45</v>
      </c>
    </row>
    <row r="231" spans="1:17" x14ac:dyDescent="0.35">
      <c r="A231" s="4" t="s">
        <v>80</v>
      </c>
      <c r="B231" s="5">
        <v>45717</v>
      </c>
      <c r="C231" s="4" t="s">
        <v>17</v>
      </c>
      <c r="D231" s="4" t="s">
        <v>30</v>
      </c>
      <c r="E231" s="4">
        <v>42932.02</v>
      </c>
      <c r="F231" s="4">
        <v>3872</v>
      </c>
      <c r="G231" s="4">
        <v>0.17100000000000001</v>
      </c>
      <c r="H231" s="4">
        <v>83.2</v>
      </c>
      <c r="I231" s="4">
        <v>15.58</v>
      </c>
      <c r="J231" s="4">
        <v>0</v>
      </c>
      <c r="K231" s="4">
        <v>3.3</v>
      </c>
      <c r="L231" s="4">
        <v>1</v>
      </c>
      <c r="M231" s="4">
        <v>0</v>
      </c>
      <c r="N231" s="4">
        <v>0</v>
      </c>
      <c r="O231" s="4">
        <v>12</v>
      </c>
      <c r="P231" s="4">
        <v>527681.56000000006</v>
      </c>
      <c r="Q231" s="4">
        <v>63153.05</v>
      </c>
    </row>
    <row r="232" spans="1:17" x14ac:dyDescent="0.35">
      <c r="A232" s="4" t="s">
        <v>80</v>
      </c>
      <c r="B232" s="5">
        <v>45748</v>
      </c>
      <c r="C232" s="4" t="s">
        <v>17</v>
      </c>
      <c r="D232" s="4" t="s">
        <v>30</v>
      </c>
      <c r="E232" s="4">
        <v>39341.449999999997</v>
      </c>
      <c r="F232" s="4">
        <v>1375</v>
      </c>
      <c r="G232" s="4">
        <v>9.2999999999999999E-2</v>
      </c>
      <c r="H232" s="4">
        <v>95</v>
      </c>
      <c r="I232" s="4">
        <v>5.32</v>
      </c>
      <c r="J232" s="4">
        <v>0</v>
      </c>
      <c r="K232" s="4">
        <v>3.9</v>
      </c>
      <c r="L232" s="4">
        <v>1</v>
      </c>
      <c r="M232" s="4">
        <v>0</v>
      </c>
      <c r="N232" s="4">
        <v>0</v>
      </c>
      <c r="O232" s="4">
        <v>5</v>
      </c>
      <c r="P232" s="4">
        <v>529598.93999999994</v>
      </c>
      <c r="Q232" s="4">
        <v>84334.33</v>
      </c>
    </row>
    <row r="233" spans="1:17" x14ac:dyDescent="0.35">
      <c r="A233" s="4" t="s">
        <v>81</v>
      </c>
      <c r="B233" s="5">
        <v>45658</v>
      </c>
      <c r="C233" s="4" t="s">
        <v>17</v>
      </c>
      <c r="D233" s="4" t="s">
        <v>20</v>
      </c>
      <c r="E233" s="4">
        <v>37324.230000000003</v>
      </c>
      <c r="F233" s="4">
        <v>5957</v>
      </c>
      <c r="G233" s="4">
        <v>7.0999999999999994E-2</v>
      </c>
      <c r="H233" s="4">
        <v>85.9</v>
      </c>
      <c r="I233" s="4">
        <v>0.37</v>
      </c>
      <c r="J233" s="4">
        <v>0</v>
      </c>
      <c r="K233" s="4">
        <v>3.8</v>
      </c>
      <c r="L233" s="4">
        <v>0</v>
      </c>
      <c r="M233" s="4">
        <v>0</v>
      </c>
      <c r="N233" s="4">
        <v>0</v>
      </c>
      <c r="O233" s="4">
        <v>12</v>
      </c>
      <c r="P233" s="4">
        <v>570963.31000000006</v>
      </c>
      <c r="Q233" s="4">
        <v>87342.25</v>
      </c>
    </row>
    <row r="234" spans="1:17" x14ac:dyDescent="0.35">
      <c r="A234" s="4" t="s">
        <v>81</v>
      </c>
      <c r="B234" s="5">
        <v>45689</v>
      </c>
      <c r="C234" s="4" t="s">
        <v>17</v>
      </c>
      <c r="D234" s="4" t="s">
        <v>20</v>
      </c>
      <c r="E234" s="4">
        <v>113736</v>
      </c>
      <c r="F234" s="4">
        <v>8961</v>
      </c>
      <c r="G234" s="4">
        <v>0.20200000000000001</v>
      </c>
      <c r="H234" s="4">
        <v>86.2</v>
      </c>
      <c r="I234" s="4">
        <v>21.63</v>
      </c>
      <c r="J234" s="4">
        <v>0</v>
      </c>
      <c r="K234" s="4">
        <v>4</v>
      </c>
      <c r="L234" s="4">
        <v>0</v>
      </c>
      <c r="M234" s="4">
        <v>0</v>
      </c>
      <c r="N234" s="4">
        <v>0</v>
      </c>
      <c r="O234" s="4">
        <v>24</v>
      </c>
      <c r="P234" s="4">
        <v>870937.4</v>
      </c>
      <c r="Q234" s="4">
        <v>175282.74</v>
      </c>
    </row>
    <row r="235" spans="1:17" x14ac:dyDescent="0.35">
      <c r="A235" s="4" t="s">
        <v>81</v>
      </c>
      <c r="B235" s="5">
        <v>45717</v>
      </c>
      <c r="C235" s="4" t="s">
        <v>17</v>
      </c>
      <c r="D235" s="4" t="s">
        <v>20</v>
      </c>
      <c r="E235" s="4">
        <v>33173.949999999997</v>
      </c>
      <c r="F235" s="4">
        <v>6545</v>
      </c>
      <c r="G235" s="4">
        <v>0.16900000000000001</v>
      </c>
      <c r="H235" s="4">
        <v>84.4</v>
      </c>
      <c r="I235" s="4">
        <v>2.48</v>
      </c>
      <c r="J235" s="4">
        <v>0</v>
      </c>
      <c r="K235" s="4">
        <v>3.9</v>
      </c>
      <c r="L235" s="4">
        <v>0</v>
      </c>
      <c r="M235" s="4">
        <v>0</v>
      </c>
      <c r="N235" s="4">
        <v>0</v>
      </c>
      <c r="O235" s="4">
        <v>15</v>
      </c>
      <c r="P235" s="4">
        <v>596969.27</v>
      </c>
      <c r="Q235" s="4">
        <v>105669.51</v>
      </c>
    </row>
    <row r="236" spans="1:17" x14ac:dyDescent="0.35">
      <c r="A236" s="4" t="s">
        <v>81</v>
      </c>
      <c r="B236" s="5">
        <v>45748</v>
      </c>
      <c r="C236" s="4" t="s">
        <v>17</v>
      </c>
      <c r="D236" s="4" t="s">
        <v>20</v>
      </c>
      <c r="E236" s="4">
        <v>25818.080000000002</v>
      </c>
      <c r="F236" s="4">
        <v>5457</v>
      </c>
      <c r="G236" s="4">
        <v>0</v>
      </c>
      <c r="H236" s="4">
        <v>95.4</v>
      </c>
      <c r="I236" s="4">
        <v>3.3650000000000002</v>
      </c>
      <c r="J236" s="4">
        <v>0</v>
      </c>
      <c r="K236" s="4">
        <v>3.7</v>
      </c>
      <c r="L236" s="4">
        <v>0</v>
      </c>
      <c r="M236" s="4">
        <v>0</v>
      </c>
      <c r="N236" s="4">
        <v>0</v>
      </c>
      <c r="O236" s="4">
        <v>11</v>
      </c>
      <c r="P236" s="4">
        <v>647512.85</v>
      </c>
      <c r="Q236" s="4">
        <v>153835.57</v>
      </c>
    </row>
    <row r="237" spans="1:17" x14ac:dyDescent="0.35">
      <c r="A237" s="4" t="s">
        <v>82</v>
      </c>
      <c r="B237" s="5">
        <v>45658</v>
      </c>
      <c r="C237" s="4" t="s">
        <v>29</v>
      </c>
      <c r="D237" s="4" t="s">
        <v>18</v>
      </c>
      <c r="E237" s="4">
        <v>47241.919999999998</v>
      </c>
      <c r="F237" s="4">
        <v>4264</v>
      </c>
      <c r="G237" s="4">
        <v>6.9000000000000006E-2</v>
      </c>
      <c r="H237" s="4">
        <v>95.3</v>
      </c>
      <c r="I237" s="4">
        <v>0.85</v>
      </c>
      <c r="J237" s="4">
        <v>0</v>
      </c>
      <c r="K237" s="4">
        <v>4.3</v>
      </c>
      <c r="L237" s="4">
        <v>0</v>
      </c>
      <c r="M237" s="4">
        <v>1</v>
      </c>
      <c r="N237" s="4">
        <v>0</v>
      </c>
      <c r="O237" s="4">
        <v>13</v>
      </c>
      <c r="P237" s="4">
        <v>658072.14</v>
      </c>
      <c r="Q237" s="4">
        <v>110595.89</v>
      </c>
    </row>
    <row r="238" spans="1:17" x14ac:dyDescent="0.35">
      <c r="A238" s="4" t="s">
        <v>82</v>
      </c>
      <c r="B238" s="5">
        <v>45689</v>
      </c>
      <c r="C238" s="4" t="s">
        <v>29</v>
      </c>
      <c r="D238" s="4" t="s">
        <v>18</v>
      </c>
      <c r="E238" s="4">
        <v>61650.79</v>
      </c>
      <c r="F238" s="4">
        <v>5321</v>
      </c>
      <c r="G238" s="4">
        <v>0.126</v>
      </c>
      <c r="H238" s="4">
        <v>89.2</v>
      </c>
      <c r="I238" s="4">
        <v>2.13</v>
      </c>
      <c r="J238" s="4">
        <v>0</v>
      </c>
      <c r="K238" s="4">
        <v>4</v>
      </c>
      <c r="L238" s="4">
        <v>0</v>
      </c>
      <c r="M238" s="4">
        <v>1</v>
      </c>
      <c r="N238" s="4">
        <v>0</v>
      </c>
      <c r="O238" s="4">
        <v>17</v>
      </c>
      <c r="P238" s="4">
        <v>723305.11</v>
      </c>
      <c r="Q238" s="4">
        <v>128468.7</v>
      </c>
    </row>
    <row r="239" spans="1:17" x14ac:dyDescent="0.35">
      <c r="A239" s="4" t="s">
        <v>82</v>
      </c>
      <c r="B239" s="5">
        <v>45717</v>
      </c>
      <c r="C239" s="4" t="s">
        <v>29</v>
      </c>
      <c r="D239" s="4" t="s">
        <v>18</v>
      </c>
      <c r="E239" s="4">
        <v>62582.71</v>
      </c>
      <c r="F239" s="4">
        <v>5479</v>
      </c>
      <c r="G239" s="4">
        <v>4.8000000000000001E-2</v>
      </c>
      <c r="H239" s="4">
        <v>81.2</v>
      </c>
      <c r="I239" s="4">
        <v>1.46</v>
      </c>
      <c r="J239" s="4">
        <v>0</v>
      </c>
      <c r="K239" s="4">
        <v>4.5</v>
      </c>
      <c r="L239" s="4">
        <v>0</v>
      </c>
      <c r="M239" s="4">
        <v>1</v>
      </c>
      <c r="N239" s="4">
        <v>0</v>
      </c>
      <c r="O239" s="4">
        <v>16</v>
      </c>
      <c r="P239" s="4">
        <v>640666.53</v>
      </c>
      <c r="Q239" s="4">
        <v>134919.16</v>
      </c>
    </row>
    <row r="240" spans="1:17" x14ac:dyDescent="0.35">
      <c r="A240" s="4" t="s">
        <v>82</v>
      </c>
      <c r="B240" s="5">
        <v>45748</v>
      </c>
      <c r="C240" s="4" t="s">
        <v>29</v>
      </c>
      <c r="D240" s="4" t="s">
        <v>18</v>
      </c>
      <c r="E240" s="4">
        <v>47944.14</v>
      </c>
      <c r="F240" s="4">
        <v>6169</v>
      </c>
      <c r="G240" s="4">
        <v>0.11899999999999999</v>
      </c>
      <c r="H240" s="4">
        <v>92.2</v>
      </c>
      <c r="I240" s="4">
        <v>3.02</v>
      </c>
      <c r="J240" s="4">
        <v>0</v>
      </c>
      <c r="K240" s="4">
        <v>4.0999999999999996</v>
      </c>
      <c r="L240" s="4">
        <v>0</v>
      </c>
      <c r="M240" s="4">
        <v>1</v>
      </c>
      <c r="N240" s="4">
        <v>0</v>
      </c>
      <c r="O240" s="4">
        <v>17</v>
      </c>
      <c r="P240" s="4">
        <v>670629.48</v>
      </c>
      <c r="Q240" s="4">
        <v>100140.8</v>
      </c>
    </row>
    <row r="241" spans="1:17" x14ac:dyDescent="0.35">
      <c r="A241" s="4" t="s">
        <v>83</v>
      </c>
      <c r="B241" s="5">
        <v>45658</v>
      </c>
      <c r="C241" s="4" t="s">
        <v>29</v>
      </c>
      <c r="D241" s="4" t="s">
        <v>30</v>
      </c>
      <c r="E241" s="4">
        <v>46495.4</v>
      </c>
      <c r="F241" s="4">
        <v>9908</v>
      </c>
      <c r="G241" s="4">
        <v>0.121</v>
      </c>
      <c r="H241" s="4">
        <v>89.4</v>
      </c>
      <c r="I241" s="4">
        <v>3.22</v>
      </c>
      <c r="J241" s="4">
        <v>0</v>
      </c>
      <c r="K241" s="4">
        <v>3.7</v>
      </c>
      <c r="L241" s="4">
        <v>1</v>
      </c>
      <c r="M241" s="4">
        <v>0</v>
      </c>
      <c r="N241" s="4">
        <v>0</v>
      </c>
      <c r="O241" s="4">
        <v>22</v>
      </c>
      <c r="P241" s="4">
        <v>721079.35</v>
      </c>
      <c r="Q241" s="4">
        <v>115295.05</v>
      </c>
    </row>
    <row r="242" spans="1:17" x14ac:dyDescent="0.35">
      <c r="A242" s="4" t="s">
        <v>83</v>
      </c>
      <c r="B242" s="5">
        <v>45689</v>
      </c>
      <c r="C242" s="4" t="s">
        <v>29</v>
      </c>
      <c r="D242" s="4" t="s">
        <v>30</v>
      </c>
      <c r="E242" s="4">
        <v>72961.95</v>
      </c>
      <c r="F242" s="4">
        <v>9996</v>
      </c>
      <c r="G242" s="4">
        <v>0.106</v>
      </c>
      <c r="H242" s="4">
        <v>89.1</v>
      </c>
      <c r="I242" s="4">
        <v>15.66</v>
      </c>
      <c r="J242" s="4">
        <v>0</v>
      </c>
      <c r="K242" s="4">
        <v>3.4</v>
      </c>
      <c r="L242" s="4">
        <v>1</v>
      </c>
      <c r="M242" s="4">
        <v>0</v>
      </c>
      <c r="N242" s="4">
        <v>0</v>
      </c>
      <c r="O242" s="4">
        <v>22</v>
      </c>
      <c r="P242" s="4">
        <v>810355.02</v>
      </c>
      <c r="Q242" s="4">
        <v>131510</v>
      </c>
    </row>
    <row r="243" spans="1:17" x14ac:dyDescent="0.35">
      <c r="A243" s="4" t="s">
        <v>83</v>
      </c>
      <c r="B243" s="5">
        <v>45717</v>
      </c>
      <c r="C243" s="4" t="s">
        <v>29</v>
      </c>
      <c r="D243" s="4" t="s">
        <v>30</v>
      </c>
      <c r="E243" s="4">
        <v>59060.05</v>
      </c>
      <c r="F243" s="4">
        <v>9702</v>
      </c>
      <c r="G243" s="4">
        <v>0.20100000000000001</v>
      </c>
      <c r="H243" s="4">
        <v>80.900000000000006</v>
      </c>
      <c r="I243" s="4">
        <v>6.96</v>
      </c>
      <c r="J243" s="4">
        <v>0</v>
      </c>
      <c r="K243" s="4">
        <v>3.2</v>
      </c>
      <c r="L243" s="4">
        <v>1</v>
      </c>
      <c r="M243" s="4">
        <v>0</v>
      </c>
      <c r="N243" s="4">
        <v>0</v>
      </c>
      <c r="O243" s="4">
        <v>23</v>
      </c>
      <c r="P243" s="4">
        <v>761919.25</v>
      </c>
      <c r="Q243" s="4">
        <v>111893.06</v>
      </c>
    </row>
    <row r="244" spans="1:17" x14ac:dyDescent="0.35">
      <c r="A244" s="4" t="s">
        <v>83</v>
      </c>
      <c r="B244" s="5">
        <v>45748</v>
      </c>
      <c r="C244" s="4" t="s">
        <v>29</v>
      </c>
      <c r="D244" s="4" t="s">
        <v>30</v>
      </c>
      <c r="E244" s="4">
        <v>26248.1</v>
      </c>
      <c r="F244" s="4">
        <v>9314</v>
      </c>
      <c r="G244" s="4">
        <v>0.186</v>
      </c>
      <c r="H244" s="4">
        <v>83.7</v>
      </c>
      <c r="I244" s="4">
        <v>4.62</v>
      </c>
      <c r="J244" s="4">
        <v>0</v>
      </c>
      <c r="K244" s="4">
        <v>3.3</v>
      </c>
      <c r="L244" s="4">
        <v>1</v>
      </c>
      <c r="M244" s="4">
        <v>0</v>
      </c>
      <c r="N244" s="4">
        <v>0</v>
      </c>
      <c r="O244" s="4">
        <v>21</v>
      </c>
      <c r="P244" s="4">
        <v>737070.18</v>
      </c>
      <c r="Q244" s="4">
        <v>117593.97</v>
      </c>
    </row>
    <row r="245" spans="1:17" x14ac:dyDescent="0.35">
      <c r="A245" s="4" t="s">
        <v>84</v>
      </c>
      <c r="B245" s="5">
        <v>45658</v>
      </c>
      <c r="C245" s="4" t="s">
        <v>26</v>
      </c>
      <c r="D245" s="4" t="s">
        <v>23</v>
      </c>
      <c r="E245" s="4">
        <v>69900.12</v>
      </c>
      <c r="F245" s="4">
        <v>8055</v>
      </c>
      <c r="G245" s="4">
        <v>0.28100000000000003</v>
      </c>
      <c r="H245" s="4">
        <v>85.6</v>
      </c>
      <c r="I245" s="4">
        <v>10.68</v>
      </c>
      <c r="J245" s="4">
        <v>1</v>
      </c>
      <c r="K245" s="4">
        <v>2.9</v>
      </c>
      <c r="L245" s="4">
        <v>0</v>
      </c>
      <c r="M245" s="4">
        <v>0</v>
      </c>
      <c r="N245" s="4">
        <v>1</v>
      </c>
      <c r="O245" s="4">
        <v>22</v>
      </c>
      <c r="P245" s="4">
        <v>776992.93</v>
      </c>
      <c r="Q245" s="4">
        <v>101598.32</v>
      </c>
    </row>
    <row r="246" spans="1:17" x14ac:dyDescent="0.35">
      <c r="A246" s="4" t="s">
        <v>84</v>
      </c>
      <c r="B246" s="5">
        <v>45689</v>
      </c>
      <c r="C246" s="4" t="s">
        <v>26</v>
      </c>
      <c r="D246" s="4" t="s">
        <v>23</v>
      </c>
      <c r="E246" s="4">
        <v>51781.599999999999</v>
      </c>
      <c r="F246" s="4">
        <v>5648</v>
      </c>
      <c r="G246" s="4">
        <v>5.8999999999999997E-2</v>
      </c>
      <c r="H246" s="4">
        <v>85.5</v>
      </c>
      <c r="I246" s="4">
        <v>4.04</v>
      </c>
      <c r="J246" s="4">
        <v>0</v>
      </c>
      <c r="K246" s="4">
        <v>3.7</v>
      </c>
      <c r="L246" s="4">
        <v>0</v>
      </c>
      <c r="M246" s="4">
        <v>0</v>
      </c>
      <c r="N246" s="4">
        <v>1</v>
      </c>
      <c r="O246" s="4">
        <v>13</v>
      </c>
      <c r="P246" s="4">
        <v>676337.41</v>
      </c>
      <c r="Q246" s="4">
        <v>104355.77</v>
      </c>
    </row>
    <row r="247" spans="1:17" x14ac:dyDescent="0.35">
      <c r="A247" s="4" t="s">
        <v>84</v>
      </c>
      <c r="B247" s="5">
        <v>45717</v>
      </c>
      <c r="C247" s="4" t="s">
        <v>26</v>
      </c>
      <c r="D247" s="4" t="s">
        <v>23</v>
      </c>
      <c r="E247" s="4">
        <v>70799.64</v>
      </c>
      <c r="F247" s="4">
        <v>10076</v>
      </c>
      <c r="G247" s="4">
        <v>0.152</v>
      </c>
      <c r="H247" s="4">
        <v>84.8</v>
      </c>
      <c r="I247" s="4">
        <v>1.87</v>
      </c>
      <c r="J247" s="4">
        <v>0</v>
      </c>
      <c r="K247" s="4">
        <v>3.5</v>
      </c>
      <c r="L247" s="4">
        <v>0</v>
      </c>
      <c r="M247" s="4">
        <v>0</v>
      </c>
      <c r="N247" s="4">
        <v>1</v>
      </c>
      <c r="O247" s="4">
        <v>24</v>
      </c>
      <c r="P247" s="4">
        <v>828219.67</v>
      </c>
      <c r="Q247" s="4">
        <v>179806.87</v>
      </c>
    </row>
    <row r="248" spans="1:17" x14ac:dyDescent="0.35">
      <c r="A248" s="4" t="s">
        <v>84</v>
      </c>
      <c r="B248" s="5">
        <v>45748</v>
      </c>
      <c r="C248" s="4" t="s">
        <v>26</v>
      </c>
      <c r="D248" s="4" t="s">
        <v>23</v>
      </c>
      <c r="E248" s="4">
        <v>53546.34</v>
      </c>
      <c r="F248" s="4">
        <v>8004</v>
      </c>
      <c r="G248" s="4">
        <v>0</v>
      </c>
      <c r="H248" s="4">
        <v>95.2</v>
      </c>
      <c r="I248" s="4">
        <v>2.83</v>
      </c>
      <c r="J248" s="4">
        <v>0</v>
      </c>
      <c r="K248" s="4">
        <v>3</v>
      </c>
      <c r="L248" s="4">
        <v>0</v>
      </c>
      <c r="M248" s="4">
        <v>0</v>
      </c>
      <c r="N248" s="4">
        <v>1</v>
      </c>
      <c r="O248" s="4">
        <v>21</v>
      </c>
      <c r="P248" s="4">
        <v>763159.92</v>
      </c>
      <c r="Q248" s="4">
        <v>177104.87</v>
      </c>
    </row>
    <row r="249" spans="1:17" x14ac:dyDescent="0.35">
      <c r="A249" s="4" t="s">
        <v>85</v>
      </c>
      <c r="B249" s="5">
        <v>45658</v>
      </c>
      <c r="C249" s="4" t="s">
        <v>17</v>
      </c>
      <c r="D249" s="4" t="s">
        <v>20</v>
      </c>
      <c r="E249" s="4">
        <v>76942.2</v>
      </c>
      <c r="F249" s="4">
        <v>8934</v>
      </c>
      <c r="G249" s="4">
        <v>8.4000000000000005E-2</v>
      </c>
      <c r="H249" s="4">
        <v>91</v>
      </c>
      <c r="I249" s="4">
        <v>0.95</v>
      </c>
      <c r="J249" s="4">
        <v>0</v>
      </c>
      <c r="K249" s="4">
        <v>3.2</v>
      </c>
      <c r="L249" s="4">
        <v>0</v>
      </c>
      <c r="M249" s="4">
        <v>0</v>
      </c>
      <c r="N249" s="4">
        <v>0</v>
      </c>
      <c r="O249" s="4">
        <v>20</v>
      </c>
      <c r="P249" s="4">
        <v>802001.68</v>
      </c>
      <c r="Q249" s="4">
        <v>159715.82</v>
      </c>
    </row>
    <row r="250" spans="1:17" x14ac:dyDescent="0.35">
      <c r="A250" s="4" t="s">
        <v>85</v>
      </c>
      <c r="B250" s="5">
        <v>45689</v>
      </c>
      <c r="C250" s="4" t="s">
        <v>17</v>
      </c>
      <c r="D250" s="4" t="s">
        <v>20</v>
      </c>
      <c r="E250" s="4">
        <v>48060.78</v>
      </c>
      <c r="F250" s="4">
        <v>8733</v>
      </c>
      <c r="G250" s="4">
        <v>0</v>
      </c>
      <c r="H250" s="4">
        <v>89.9</v>
      </c>
      <c r="I250" s="4">
        <v>0.8</v>
      </c>
      <c r="J250" s="4">
        <v>0</v>
      </c>
      <c r="K250" s="4">
        <v>3.4</v>
      </c>
      <c r="L250" s="4">
        <v>0</v>
      </c>
      <c r="M250" s="4">
        <v>0</v>
      </c>
      <c r="N250" s="4">
        <v>0</v>
      </c>
      <c r="O250" s="4">
        <v>20</v>
      </c>
      <c r="P250" s="4">
        <v>750471.34</v>
      </c>
      <c r="Q250" s="4">
        <v>133788.04</v>
      </c>
    </row>
    <row r="251" spans="1:17" x14ac:dyDescent="0.35">
      <c r="A251" s="4" t="s">
        <v>85</v>
      </c>
      <c r="B251" s="5">
        <v>45717</v>
      </c>
      <c r="C251" s="4" t="s">
        <v>17</v>
      </c>
      <c r="D251" s="4" t="s">
        <v>20</v>
      </c>
      <c r="E251" s="4">
        <v>57390.04</v>
      </c>
      <c r="F251" s="4">
        <v>7374</v>
      </c>
      <c r="G251" s="4">
        <v>0.21</v>
      </c>
      <c r="H251" s="4">
        <v>91.8</v>
      </c>
      <c r="I251" s="4">
        <v>0.2</v>
      </c>
      <c r="J251" s="4">
        <v>0</v>
      </c>
      <c r="K251" s="4">
        <v>3.1</v>
      </c>
      <c r="L251" s="4">
        <v>0</v>
      </c>
      <c r="M251" s="4">
        <v>0</v>
      </c>
      <c r="N251" s="4">
        <v>0</v>
      </c>
      <c r="O251" s="4">
        <v>21</v>
      </c>
      <c r="P251" s="4">
        <v>679230.86</v>
      </c>
      <c r="Q251" s="4">
        <v>106927.58</v>
      </c>
    </row>
    <row r="252" spans="1:17" x14ac:dyDescent="0.35">
      <c r="A252" s="4" t="s">
        <v>85</v>
      </c>
      <c r="B252" s="5">
        <v>45748</v>
      </c>
      <c r="C252" s="4" t="s">
        <v>17</v>
      </c>
      <c r="D252" s="4" t="s">
        <v>20</v>
      </c>
      <c r="E252" s="4">
        <v>21536.18</v>
      </c>
      <c r="F252" s="4">
        <v>8119</v>
      </c>
      <c r="G252" s="4">
        <v>0.22700000000000001</v>
      </c>
      <c r="H252" s="4">
        <v>90.4</v>
      </c>
      <c r="I252" s="4">
        <v>1.7</v>
      </c>
      <c r="J252" s="4">
        <v>0</v>
      </c>
      <c r="K252" s="4">
        <v>3.3</v>
      </c>
      <c r="L252" s="4">
        <v>0</v>
      </c>
      <c r="M252" s="4">
        <v>0</v>
      </c>
      <c r="N252" s="4">
        <v>0</v>
      </c>
      <c r="O252" s="4">
        <v>20</v>
      </c>
      <c r="P252" s="4">
        <v>679888.74</v>
      </c>
      <c r="Q252" s="4">
        <v>83406.89</v>
      </c>
    </row>
    <row r="253" spans="1:17" x14ac:dyDescent="0.35">
      <c r="A253" s="4" t="s">
        <v>86</v>
      </c>
      <c r="B253" s="5">
        <v>45658</v>
      </c>
      <c r="C253" s="4" t="s">
        <v>22</v>
      </c>
      <c r="D253" s="4" t="s">
        <v>20</v>
      </c>
      <c r="E253" s="4">
        <v>40923.67</v>
      </c>
      <c r="F253" s="4">
        <v>3875</v>
      </c>
      <c r="G253" s="4">
        <v>0.15</v>
      </c>
      <c r="H253" s="4">
        <v>96.1</v>
      </c>
      <c r="I253" s="4">
        <v>3.3650000000000002</v>
      </c>
      <c r="J253" s="4">
        <v>0</v>
      </c>
      <c r="K253" s="4">
        <v>3.8</v>
      </c>
      <c r="L253" s="4">
        <v>0</v>
      </c>
      <c r="M253" s="4">
        <v>0</v>
      </c>
      <c r="N253" s="4">
        <v>0</v>
      </c>
      <c r="O253" s="4">
        <v>10</v>
      </c>
      <c r="P253" s="4">
        <v>606783.67000000004</v>
      </c>
      <c r="Q253" s="4">
        <v>74515.87</v>
      </c>
    </row>
    <row r="254" spans="1:17" x14ac:dyDescent="0.35">
      <c r="A254" s="4" t="s">
        <v>86</v>
      </c>
      <c r="B254" s="5">
        <v>45689</v>
      </c>
      <c r="C254" s="4" t="s">
        <v>22</v>
      </c>
      <c r="D254" s="4" t="s">
        <v>20</v>
      </c>
      <c r="E254" s="4">
        <v>72932.55</v>
      </c>
      <c r="F254" s="4">
        <v>5765</v>
      </c>
      <c r="G254" s="4">
        <v>2.5999999999999999E-2</v>
      </c>
      <c r="H254" s="4">
        <v>81.8</v>
      </c>
      <c r="I254" s="4">
        <v>5.0999999999999996</v>
      </c>
      <c r="J254" s="4">
        <v>0</v>
      </c>
      <c r="K254" s="4">
        <v>3.6</v>
      </c>
      <c r="L254" s="4">
        <v>0</v>
      </c>
      <c r="M254" s="4">
        <v>0</v>
      </c>
      <c r="N254" s="4">
        <v>0</v>
      </c>
      <c r="O254" s="4">
        <v>17</v>
      </c>
      <c r="P254" s="4">
        <v>642751.42000000004</v>
      </c>
      <c r="Q254" s="4">
        <v>131942.15</v>
      </c>
    </row>
    <row r="255" spans="1:17" x14ac:dyDescent="0.35">
      <c r="A255" s="4" t="s">
        <v>86</v>
      </c>
      <c r="B255" s="5">
        <v>45717</v>
      </c>
      <c r="C255" s="4" t="s">
        <v>22</v>
      </c>
      <c r="D255" s="4" t="s">
        <v>20</v>
      </c>
      <c r="E255" s="4">
        <v>38361.93</v>
      </c>
      <c r="F255" s="4">
        <v>6322</v>
      </c>
      <c r="G255" s="4">
        <v>0.27300000000000002</v>
      </c>
      <c r="H255" s="4">
        <v>88.4</v>
      </c>
      <c r="I255" s="4">
        <v>0.83</v>
      </c>
      <c r="J255" s="4">
        <v>0</v>
      </c>
      <c r="K255" s="4">
        <v>4</v>
      </c>
      <c r="L255" s="4">
        <v>0</v>
      </c>
      <c r="M255" s="4">
        <v>0</v>
      </c>
      <c r="N255" s="4">
        <v>0</v>
      </c>
      <c r="O255" s="4">
        <v>15</v>
      </c>
      <c r="P255" s="4">
        <v>647953.78</v>
      </c>
      <c r="Q255" s="4">
        <v>118497.43</v>
      </c>
    </row>
    <row r="256" spans="1:17" x14ac:dyDescent="0.35">
      <c r="A256" s="4" t="s">
        <v>86</v>
      </c>
      <c r="B256" s="5">
        <v>45748</v>
      </c>
      <c r="C256" s="4" t="s">
        <v>22</v>
      </c>
      <c r="D256" s="4" t="s">
        <v>20</v>
      </c>
      <c r="E256" s="4">
        <v>97480.94</v>
      </c>
      <c r="F256" s="4">
        <v>6840</v>
      </c>
      <c r="G256" s="4">
        <v>8.6999999999999994E-2</v>
      </c>
      <c r="H256" s="4">
        <v>79.2</v>
      </c>
      <c r="I256" s="4">
        <v>1.1399999999999999</v>
      </c>
      <c r="J256" s="4">
        <v>0</v>
      </c>
      <c r="K256" s="4">
        <v>4</v>
      </c>
      <c r="L256" s="4">
        <v>0</v>
      </c>
      <c r="M256" s="4">
        <v>0</v>
      </c>
      <c r="N256" s="4">
        <v>0</v>
      </c>
      <c r="O256" s="4">
        <v>14</v>
      </c>
      <c r="P256" s="4">
        <v>729440.45</v>
      </c>
      <c r="Q256" s="4">
        <v>87614.29</v>
      </c>
    </row>
    <row r="257" spans="1:17" x14ac:dyDescent="0.35">
      <c r="A257" s="4" t="s">
        <v>87</v>
      </c>
      <c r="B257" s="5">
        <v>45658</v>
      </c>
      <c r="C257" s="4" t="s">
        <v>26</v>
      </c>
      <c r="D257" s="4" t="s">
        <v>23</v>
      </c>
      <c r="E257" s="4">
        <v>81801.8</v>
      </c>
      <c r="F257" s="4">
        <v>6782</v>
      </c>
      <c r="G257" s="4">
        <v>0.05</v>
      </c>
      <c r="H257" s="4">
        <v>99</v>
      </c>
      <c r="I257" s="4">
        <v>9.5399999999999991</v>
      </c>
      <c r="J257" s="4">
        <v>0</v>
      </c>
      <c r="K257" s="4">
        <v>3.7</v>
      </c>
      <c r="L257" s="4">
        <v>0</v>
      </c>
      <c r="M257" s="4">
        <v>0</v>
      </c>
      <c r="N257" s="4">
        <v>1</v>
      </c>
      <c r="O257" s="4">
        <v>16</v>
      </c>
      <c r="P257" s="4">
        <v>764949</v>
      </c>
      <c r="Q257" s="4">
        <v>148322.43</v>
      </c>
    </row>
    <row r="258" spans="1:17" x14ac:dyDescent="0.35">
      <c r="A258" s="4" t="s">
        <v>87</v>
      </c>
      <c r="B258" s="5">
        <v>45689</v>
      </c>
      <c r="C258" s="4" t="s">
        <v>26</v>
      </c>
      <c r="D258" s="4" t="s">
        <v>23</v>
      </c>
      <c r="E258" s="4">
        <v>63582.11</v>
      </c>
      <c r="F258" s="4">
        <v>6856</v>
      </c>
      <c r="G258" s="4">
        <v>7.3999999999999996E-2</v>
      </c>
      <c r="H258" s="4">
        <v>89.5</v>
      </c>
      <c r="I258" s="4">
        <v>5.48</v>
      </c>
      <c r="J258" s="4">
        <v>0</v>
      </c>
      <c r="K258" s="4">
        <v>3.2</v>
      </c>
      <c r="L258" s="4">
        <v>0</v>
      </c>
      <c r="M258" s="4">
        <v>0</v>
      </c>
      <c r="N258" s="4">
        <v>1</v>
      </c>
      <c r="O258" s="4">
        <v>17</v>
      </c>
      <c r="P258" s="4">
        <v>799046.94</v>
      </c>
      <c r="Q258" s="4">
        <v>144553.64000000001</v>
      </c>
    </row>
    <row r="259" spans="1:17" x14ac:dyDescent="0.35">
      <c r="A259" s="4" t="s">
        <v>87</v>
      </c>
      <c r="B259" s="5">
        <v>45717</v>
      </c>
      <c r="C259" s="4" t="s">
        <v>26</v>
      </c>
      <c r="D259" s="4" t="s">
        <v>23</v>
      </c>
      <c r="E259" s="4">
        <v>75412.740000000005</v>
      </c>
      <c r="F259" s="4">
        <v>5641</v>
      </c>
      <c r="G259" s="4">
        <v>5.8999999999999997E-2</v>
      </c>
      <c r="H259" s="4">
        <v>87.9</v>
      </c>
      <c r="I259" s="4">
        <v>0.84</v>
      </c>
      <c r="J259" s="4">
        <v>0</v>
      </c>
      <c r="K259" s="4">
        <v>3.6</v>
      </c>
      <c r="L259" s="4">
        <v>0</v>
      </c>
      <c r="M259" s="4">
        <v>0</v>
      </c>
      <c r="N259" s="4">
        <v>1</v>
      </c>
      <c r="O259" s="4">
        <v>13</v>
      </c>
      <c r="P259" s="4">
        <v>720079.54</v>
      </c>
      <c r="Q259" s="4">
        <v>119499.47</v>
      </c>
    </row>
    <row r="260" spans="1:17" x14ac:dyDescent="0.35">
      <c r="A260" s="4" t="s">
        <v>87</v>
      </c>
      <c r="B260" s="5">
        <v>45748</v>
      </c>
      <c r="C260" s="4" t="s">
        <v>26</v>
      </c>
      <c r="D260" s="4" t="s">
        <v>23</v>
      </c>
      <c r="E260" s="4">
        <v>36290.080000000002</v>
      </c>
      <c r="F260" s="4">
        <v>5787</v>
      </c>
      <c r="G260" s="4">
        <v>0</v>
      </c>
      <c r="H260" s="4">
        <v>88.3</v>
      </c>
      <c r="I260" s="4">
        <v>4.1900000000000004</v>
      </c>
      <c r="J260" s="4">
        <v>0</v>
      </c>
      <c r="K260" s="4">
        <v>4.0999999999999996</v>
      </c>
      <c r="L260" s="4">
        <v>0</v>
      </c>
      <c r="M260" s="4">
        <v>0</v>
      </c>
      <c r="N260" s="4">
        <v>1</v>
      </c>
      <c r="O260" s="4">
        <v>17</v>
      </c>
      <c r="P260" s="4">
        <v>612390.14</v>
      </c>
      <c r="Q260" s="4">
        <v>108985.74</v>
      </c>
    </row>
    <row r="261" spans="1:17" x14ac:dyDescent="0.35">
      <c r="A261" s="4" t="s">
        <v>88</v>
      </c>
      <c r="B261" s="5">
        <v>45658</v>
      </c>
      <c r="C261" s="4" t="s">
        <v>26</v>
      </c>
      <c r="D261" s="4" t="s">
        <v>30</v>
      </c>
      <c r="E261" s="4">
        <v>65272.58</v>
      </c>
      <c r="F261" s="4">
        <v>8165</v>
      </c>
      <c r="G261" s="4">
        <v>5.0999999999999997E-2</v>
      </c>
      <c r="H261" s="4">
        <v>87.8</v>
      </c>
      <c r="I261" s="4">
        <v>1.26</v>
      </c>
      <c r="J261" s="4">
        <v>1</v>
      </c>
      <c r="K261" s="4">
        <v>4.3</v>
      </c>
      <c r="L261" s="4">
        <v>1</v>
      </c>
      <c r="M261" s="4">
        <v>0</v>
      </c>
      <c r="N261" s="4">
        <v>0</v>
      </c>
      <c r="O261" s="4">
        <v>19</v>
      </c>
      <c r="P261" s="4">
        <v>840108.12</v>
      </c>
      <c r="Q261" s="4">
        <v>126587.01</v>
      </c>
    </row>
    <row r="262" spans="1:17" x14ac:dyDescent="0.35">
      <c r="A262" s="4" t="s">
        <v>88</v>
      </c>
      <c r="B262" s="5">
        <v>45689</v>
      </c>
      <c r="C262" s="4" t="s">
        <v>26</v>
      </c>
      <c r="D262" s="4" t="s">
        <v>30</v>
      </c>
      <c r="E262" s="4">
        <v>28670.43</v>
      </c>
      <c r="F262" s="4">
        <v>7574</v>
      </c>
      <c r="G262" s="4">
        <v>0.114</v>
      </c>
      <c r="H262" s="4">
        <v>82.7</v>
      </c>
      <c r="I262" s="4">
        <v>2.74</v>
      </c>
      <c r="J262" s="4">
        <v>0</v>
      </c>
      <c r="K262" s="4">
        <v>4.5999999999999996</v>
      </c>
      <c r="L262" s="4">
        <v>1</v>
      </c>
      <c r="M262" s="4">
        <v>0</v>
      </c>
      <c r="N262" s="4">
        <v>0</v>
      </c>
      <c r="O262" s="4">
        <v>19</v>
      </c>
      <c r="P262" s="4">
        <v>697888.09</v>
      </c>
      <c r="Q262" s="4">
        <v>116249.87</v>
      </c>
    </row>
    <row r="263" spans="1:17" x14ac:dyDescent="0.35">
      <c r="A263" s="4" t="s">
        <v>88</v>
      </c>
      <c r="B263" s="5">
        <v>45717</v>
      </c>
      <c r="C263" s="4" t="s">
        <v>26</v>
      </c>
      <c r="D263" s="4" t="s">
        <v>30</v>
      </c>
      <c r="E263" s="4">
        <v>44189.34</v>
      </c>
      <c r="F263" s="4">
        <v>8634</v>
      </c>
      <c r="G263" s="4">
        <v>0.14299999999999999</v>
      </c>
      <c r="H263" s="4">
        <v>87.5</v>
      </c>
      <c r="I263" s="4">
        <v>3.69</v>
      </c>
      <c r="J263" s="4">
        <v>0</v>
      </c>
      <c r="K263" s="4">
        <v>4.4000000000000004</v>
      </c>
      <c r="L263" s="4">
        <v>1</v>
      </c>
      <c r="M263" s="4">
        <v>0</v>
      </c>
      <c r="N263" s="4">
        <v>0</v>
      </c>
      <c r="O263" s="4">
        <v>19</v>
      </c>
      <c r="P263" s="4">
        <v>746115.59</v>
      </c>
      <c r="Q263" s="4">
        <v>94662.96</v>
      </c>
    </row>
    <row r="264" spans="1:17" x14ac:dyDescent="0.35">
      <c r="A264" s="4" t="s">
        <v>88</v>
      </c>
      <c r="B264" s="5">
        <v>45748</v>
      </c>
      <c r="C264" s="4" t="s">
        <v>26</v>
      </c>
      <c r="D264" s="4" t="s">
        <v>30</v>
      </c>
      <c r="E264" s="4">
        <v>38397.82</v>
      </c>
      <c r="F264" s="4">
        <v>7836</v>
      </c>
      <c r="G264" s="4">
        <v>7.0000000000000001E-3</v>
      </c>
      <c r="H264" s="4">
        <v>92.2</v>
      </c>
      <c r="I264" s="4">
        <v>1.82</v>
      </c>
      <c r="J264" s="4">
        <v>0</v>
      </c>
      <c r="K264" s="4">
        <v>3.6</v>
      </c>
      <c r="L264" s="4">
        <v>1</v>
      </c>
      <c r="M264" s="4">
        <v>0</v>
      </c>
      <c r="N264" s="4">
        <v>0</v>
      </c>
      <c r="O264" s="4">
        <v>21</v>
      </c>
      <c r="P264" s="4">
        <v>776110.32</v>
      </c>
      <c r="Q264" s="4">
        <v>139676.21</v>
      </c>
    </row>
    <row r="265" spans="1:17" x14ac:dyDescent="0.35">
      <c r="A265" s="4" t="s">
        <v>89</v>
      </c>
      <c r="B265" s="5">
        <v>45658</v>
      </c>
      <c r="C265" s="4" t="s">
        <v>29</v>
      </c>
      <c r="D265" s="4" t="s">
        <v>20</v>
      </c>
      <c r="E265" s="4">
        <v>14519.37</v>
      </c>
      <c r="F265" s="4">
        <v>3047</v>
      </c>
      <c r="G265" s="4">
        <v>0.13500000000000001</v>
      </c>
      <c r="H265" s="4">
        <v>90.3</v>
      </c>
      <c r="I265" s="4">
        <v>6.62</v>
      </c>
      <c r="J265" s="4">
        <v>0</v>
      </c>
      <c r="K265" s="4">
        <v>4.2</v>
      </c>
      <c r="L265" s="4">
        <v>0</v>
      </c>
      <c r="M265" s="4">
        <v>0</v>
      </c>
      <c r="N265" s="4">
        <v>0</v>
      </c>
      <c r="O265" s="4">
        <v>10</v>
      </c>
      <c r="P265" s="4">
        <v>528852.62</v>
      </c>
      <c r="Q265" s="4">
        <v>68426.210000000006</v>
      </c>
    </row>
    <row r="266" spans="1:17" x14ac:dyDescent="0.35">
      <c r="A266" s="4" t="s">
        <v>89</v>
      </c>
      <c r="B266" s="5">
        <v>45689</v>
      </c>
      <c r="C266" s="4" t="s">
        <v>29</v>
      </c>
      <c r="D266" s="4" t="s">
        <v>20</v>
      </c>
      <c r="E266" s="4">
        <v>43288.2</v>
      </c>
      <c r="F266" s="4">
        <v>4783</v>
      </c>
      <c r="G266" s="4">
        <v>0.16900000000000001</v>
      </c>
      <c r="H266" s="4">
        <v>87.3</v>
      </c>
      <c r="I266" s="4">
        <v>3.3650000000000002</v>
      </c>
      <c r="J266" s="4">
        <v>0</v>
      </c>
      <c r="K266" s="4">
        <v>4.2</v>
      </c>
      <c r="L266" s="4">
        <v>0</v>
      </c>
      <c r="M266" s="4">
        <v>0</v>
      </c>
      <c r="N266" s="4">
        <v>0</v>
      </c>
      <c r="O266" s="4">
        <v>13</v>
      </c>
      <c r="P266" s="4">
        <v>605751.32999999996</v>
      </c>
      <c r="Q266" s="4">
        <v>60685.53</v>
      </c>
    </row>
    <row r="267" spans="1:17" x14ac:dyDescent="0.35">
      <c r="A267" s="4" t="s">
        <v>89</v>
      </c>
      <c r="B267" s="5">
        <v>45717</v>
      </c>
      <c r="C267" s="4" t="s">
        <v>29</v>
      </c>
      <c r="D267" s="4" t="s">
        <v>20</v>
      </c>
      <c r="E267" s="4">
        <v>51450.55</v>
      </c>
      <c r="F267" s="4">
        <v>4902</v>
      </c>
      <c r="G267" s="4">
        <v>8.5999999999999993E-2</v>
      </c>
      <c r="H267" s="4">
        <v>83.7</v>
      </c>
      <c r="I267" s="4">
        <v>6.92</v>
      </c>
      <c r="J267" s="4">
        <v>1</v>
      </c>
      <c r="K267" s="4">
        <v>4.2</v>
      </c>
      <c r="L267" s="4">
        <v>0</v>
      </c>
      <c r="M267" s="4">
        <v>0</v>
      </c>
      <c r="N267" s="4">
        <v>0</v>
      </c>
      <c r="O267" s="4">
        <v>11</v>
      </c>
      <c r="P267" s="4">
        <v>677640.65</v>
      </c>
      <c r="Q267" s="4">
        <v>111610.89</v>
      </c>
    </row>
    <row r="268" spans="1:17" x14ac:dyDescent="0.35">
      <c r="A268" s="4" t="s">
        <v>89</v>
      </c>
      <c r="B268" s="5">
        <v>45748</v>
      </c>
      <c r="C268" s="4" t="s">
        <v>29</v>
      </c>
      <c r="D268" s="4" t="s">
        <v>20</v>
      </c>
      <c r="E268" s="4">
        <v>58688.26</v>
      </c>
      <c r="F268" s="4">
        <v>4022</v>
      </c>
      <c r="G268" s="4">
        <v>0.217</v>
      </c>
      <c r="H268" s="4">
        <v>93.8</v>
      </c>
      <c r="I268" s="4">
        <v>11.78</v>
      </c>
      <c r="J268" s="4">
        <v>0</v>
      </c>
      <c r="K268" s="4">
        <v>3.7</v>
      </c>
      <c r="L268" s="4">
        <v>0</v>
      </c>
      <c r="M268" s="4">
        <v>0</v>
      </c>
      <c r="N268" s="4">
        <v>0</v>
      </c>
      <c r="O268" s="4">
        <v>12</v>
      </c>
      <c r="P268" s="4">
        <v>636613.23</v>
      </c>
      <c r="Q268" s="4">
        <v>78908.350000000006</v>
      </c>
    </row>
    <row r="269" spans="1:17" x14ac:dyDescent="0.35">
      <c r="A269" s="4" t="s">
        <v>90</v>
      </c>
      <c r="B269" s="5">
        <v>45658</v>
      </c>
      <c r="C269" s="4" t="s">
        <v>17</v>
      </c>
      <c r="D269" s="4" t="s">
        <v>20</v>
      </c>
      <c r="E269" s="4">
        <v>58981.91</v>
      </c>
      <c r="F269" s="4">
        <v>7324</v>
      </c>
      <c r="G269" s="4">
        <v>9.4E-2</v>
      </c>
      <c r="H269" s="4">
        <v>95.8</v>
      </c>
      <c r="I269" s="4">
        <v>0.5</v>
      </c>
      <c r="J269" s="4">
        <v>0</v>
      </c>
      <c r="K269" s="4">
        <v>3.5</v>
      </c>
      <c r="L269" s="4">
        <v>0</v>
      </c>
      <c r="M269" s="4">
        <v>0</v>
      </c>
      <c r="N269" s="4">
        <v>0</v>
      </c>
      <c r="O269" s="4">
        <v>15</v>
      </c>
      <c r="P269" s="4">
        <v>708985.19</v>
      </c>
      <c r="Q269" s="4">
        <v>125368.16</v>
      </c>
    </row>
    <row r="270" spans="1:17" x14ac:dyDescent="0.35">
      <c r="A270" s="4" t="s">
        <v>90</v>
      </c>
      <c r="B270" s="5">
        <v>45689</v>
      </c>
      <c r="C270" s="4" t="s">
        <v>17</v>
      </c>
      <c r="D270" s="4" t="s">
        <v>20</v>
      </c>
      <c r="E270" s="4">
        <v>73454.539999999994</v>
      </c>
      <c r="F270" s="4">
        <v>8129</v>
      </c>
      <c r="G270" s="4">
        <v>0.21099999999999999</v>
      </c>
      <c r="H270" s="4">
        <v>85.2</v>
      </c>
      <c r="I270" s="4">
        <v>0.88</v>
      </c>
      <c r="J270" s="4">
        <v>0</v>
      </c>
      <c r="K270" s="4">
        <v>3.7</v>
      </c>
      <c r="L270" s="4">
        <v>0</v>
      </c>
      <c r="M270" s="4">
        <v>0</v>
      </c>
      <c r="N270" s="4">
        <v>0</v>
      </c>
      <c r="O270" s="4">
        <v>20</v>
      </c>
      <c r="P270" s="4">
        <v>767792.94</v>
      </c>
      <c r="Q270" s="4">
        <v>96235.77</v>
      </c>
    </row>
    <row r="271" spans="1:17" x14ac:dyDescent="0.35">
      <c r="A271" s="4" t="s">
        <v>90</v>
      </c>
      <c r="B271" s="5">
        <v>45717</v>
      </c>
      <c r="C271" s="4" t="s">
        <v>17</v>
      </c>
      <c r="D271" s="4" t="s">
        <v>20</v>
      </c>
      <c r="E271" s="4">
        <v>56602.39</v>
      </c>
      <c r="F271" s="4">
        <v>7969</v>
      </c>
      <c r="G271" s="4">
        <v>0.17</v>
      </c>
      <c r="H271" s="4">
        <v>88.3</v>
      </c>
      <c r="I271" s="4">
        <v>2.25</v>
      </c>
      <c r="J271" s="4">
        <v>0</v>
      </c>
      <c r="K271" s="4">
        <v>3.7</v>
      </c>
      <c r="L271" s="4">
        <v>0</v>
      </c>
      <c r="M271" s="4">
        <v>0</v>
      </c>
      <c r="N271" s="4">
        <v>0</v>
      </c>
      <c r="O271" s="4">
        <v>21</v>
      </c>
      <c r="P271" s="4">
        <v>745580.51</v>
      </c>
      <c r="Q271" s="4">
        <v>116273.68</v>
      </c>
    </row>
    <row r="272" spans="1:17" x14ac:dyDescent="0.35">
      <c r="A272" s="4" t="s">
        <v>90</v>
      </c>
      <c r="B272" s="5">
        <v>45748</v>
      </c>
      <c r="C272" s="4" t="s">
        <v>17</v>
      </c>
      <c r="D272" s="4" t="s">
        <v>20</v>
      </c>
      <c r="E272" s="4">
        <v>67722.289999999994</v>
      </c>
      <c r="F272" s="4">
        <v>7240</v>
      </c>
      <c r="G272" s="4">
        <v>2.5999999999999999E-2</v>
      </c>
      <c r="H272" s="4">
        <v>92.9</v>
      </c>
      <c r="I272" s="4">
        <v>0.28999999999999998</v>
      </c>
      <c r="J272" s="4">
        <v>0</v>
      </c>
      <c r="K272" s="4">
        <v>3.5</v>
      </c>
      <c r="L272" s="4">
        <v>0</v>
      </c>
      <c r="M272" s="4">
        <v>0</v>
      </c>
      <c r="N272" s="4">
        <v>0</v>
      </c>
      <c r="O272" s="4">
        <v>15</v>
      </c>
      <c r="P272" s="4">
        <v>762328.31</v>
      </c>
      <c r="Q272" s="4">
        <v>159158.19</v>
      </c>
    </row>
    <row r="273" spans="1:17" x14ac:dyDescent="0.35">
      <c r="A273" s="4" t="s">
        <v>91</v>
      </c>
      <c r="B273" s="5">
        <v>45658</v>
      </c>
      <c r="C273" s="4" t="s">
        <v>17</v>
      </c>
      <c r="D273" s="4" t="s">
        <v>30</v>
      </c>
      <c r="E273" s="4">
        <v>48752.92</v>
      </c>
      <c r="F273" s="4">
        <v>8052</v>
      </c>
      <c r="G273" s="4">
        <v>0.106</v>
      </c>
      <c r="H273" s="4">
        <v>94.9</v>
      </c>
      <c r="I273" s="4">
        <v>0.65</v>
      </c>
      <c r="J273" s="4">
        <v>0</v>
      </c>
      <c r="K273" s="4">
        <v>3.6</v>
      </c>
      <c r="L273" s="4">
        <v>1</v>
      </c>
      <c r="M273" s="4">
        <v>0</v>
      </c>
      <c r="N273" s="4">
        <v>0</v>
      </c>
      <c r="O273" s="4">
        <v>16</v>
      </c>
      <c r="P273" s="4">
        <v>660633.99</v>
      </c>
      <c r="Q273" s="4">
        <v>118768.66</v>
      </c>
    </row>
    <row r="274" spans="1:17" x14ac:dyDescent="0.35">
      <c r="A274" s="4" t="s">
        <v>91</v>
      </c>
      <c r="B274" s="5">
        <v>45689</v>
      </c>
      <c r="C274" s="4" t="s">
        <v>17</v>
      </c>
      <c r="D274" s="4" t="s">
        <v>30</v>
      </c>
      <c r="E274" s="4">
        <v>23914.97</v>
      </c>
      <c r="F274" s="4">
        <v>8018</v>
      </c>
      <c r="G274" s="4">
        <v>0.13900000000000001</v>
      </c>
      <c r="H274" s="4">
        <v>89</v>
      </c>
      <c r="I274" s="4">
        <v>0.2</v>
      </c>
      <c r="J274" s="4">
        <v>0</v>
      </c>
      <c r="K274" s="4">
        <v>3.5</v>
      </c>
      <c r="L274" s="4">
        <v>1</v>
      </c>
      <c r="M274" s="4">
        <v>0</v>
      </c>
      <c r="N274" s="4">
        <v>0</v>
      </c>
      <c r="O274" s="4">
        <v>20</v>
      </c>
      <c r="P274" s="4">
        <v>739374.56</v>
      </c>
      <c r="Q274" s="4">
        <v>121032.29</v>
      </c>
    </row>
    <row r="275" spans="1:17" x14ac:dyDescent="0.35">
      <c r="A275" s="4" t="s">
        <v>91</v>
      </c>
      <c r="B275" s="5">
        <v>45717</v>
      </c>
      <c r="C275" s="4" t="s">
        <v>17</v>
      </c>
      <c r="D275" s="4" t="s">
        <v>30</v>
      </c>
      <c r="E275" s="4">
        <v>61995.3</v>
      </c>
      <c r="F275" s="4">
        <v>10192</v>
      </c>
      <c r="G275" s="4">
        <v>0.19800000000000001</v>
      </c>
      <c r="H275" s="4">
        <v>87.6</v>
      </c>
      <c r="I275" s="4">
        <v>3.63</v>
      </c>
      <c r="J275" s="4">
        <v>1</v>
      </c>
      <c r="K275" s="4">
        <v>3.8</v>
      </c>
      <c r="L275" s="4">
        <v>1</v>
      </c>
      <c r="M275" s="4">
        <v>0</v>
      </c>
      <c r="N275" s="4">
        <v>0</v>
      </c>
      <c r="O275" s="4">
        <v>21</v>
      </c>
      <c r="P275" s="4">
        <v>799756.46</v>
      </c>
      <c r="Q275" s="4">
        <v>105052.93</v>
      </c>
    </row>
    <row r="276" spans="1:17" x14ac:dyDescent="0.35">
      <c r="A276" s="4" t="s">
        <v>91</v>
      </c>
      <c r="B276" s="5">
        <v>45748</v>
      </c>
      <c r="C276" s="4" t="s">
        <v>17</v>
      </c>
      <c r="D276" s="4" t="s">
        <v>30</v>
      </c>
      <c r="E276" s="4">
        <v>29344.93</v>
      </c>
      <c r="F276" s="4">
        <v>7446</v>
      </c>
      <c r="G276" s="4">
        <v>0.111</v>
      </c>
      <c r="H276" s="4">
        <v>86.2</v>
      </c>
      <c r="I276" s="4">
        <v>0.2</v>
      </c>
      <c r="J276" s="4">
        <v>0</v>
      </c>
      <c r="K276" s="4">
        <v>3.2</v>
      </c>
      <c r="L276" s="4">
        <v>1</v>
      </c>
      <c r="M276" s="4">
        <v>0</v>
      </c>
      <c r="N276" s="4">
        <v>0</v>
      </c>
      <c r="O276" s="4">
        <v>15</v>
      </c>
      <c r="P276" s="4">
        <v>593343</v>
      </c>
      <c r="Q276" s="4">
        <v>82832.240000000005</v>
      </c>
    </row>
    <row r="277" spans="1:17" x14ac:dyDescent="0.35">
      <c r="A277" s="4" t="s">
        <v>92</v>
      </c>
      <c r="B277" s="5">
        <v>45658</v>
      </c>
      <c r="C277" s="4" t="s">
        <v>29</v>
      </c>
      <c r="D277" s="4" t="s">
        <v>20</v>
      </c>
      <c r="E277" s="4">
        <v>50532.17</v>
      </c>
      <c r="F277" s="4">
        <v>5689</v>
      </c>
      <c r="G277" s="4">
        <v>5.1999999999999998E-2</v>
      </c>
      <c r="H277" s="4">
        <v>85.6</v>
      </c>
      <c r="I277" s="4">
        <v>6.23</v>
      </c>
      <c r="J277" s="4">
        <v>0</v>
      </c>
      <c r="K277" s="4">
        <v>3.3</v>
      </c>
      <c r="L277" s="4">
        <v>0</v>
      </c>
      <c r="M277" s="4">
        <v>0</v>
      </c>
      <c r="N277" s="4">
        <v>0</v>
      </c>
      <c r="O277" s="4">
        <v>17</v>
      </c>
      <c r="P277" s="4">
        <v>645039.97</v>
      </c>
      <c r="Q277" s="4">
        <v>83093.33</v>
      </c>
    </row>
    <row r="278" spans="1:17" x14ac:dyDescent="0.35">
      <c r="A278" s="4" t="s">
        <v>92</v>
      </c>
      <c r="B278" s="5">
        <v>45689</v>
      </c>
      <c r="C278" s="4" t="s">
        <v>29</v>
      </c>
      <c r="D278" s="4" t="s">
        <v>20</v>
      </c>
      <c r="E278" s="4">
        <v>17562.57</v>
      </c>
      <c r="F278" s="4">
        <v>3326</v>
      </c>
      <c r="G278" s="4">
        <v>0.153</v>
      </c>
      <c r="H278" s="4">
        <v>88.1</v>
      </c>
      <c r="I278" s="4">
        <v>1.04</v>
      </c>
      <c r="J278" s="4">
        <v>0</v>
      </c>
      <c r="K278" s="4">
        <v>3.1</v>
      </c>
      <c r="L278" s="4">
        <v>0</v>
      </c>
      <c r="M278" s="4">
        <v>0</v>
      </c>
      <c r="N278" s="4">
        <v>0</v>
      </c>
      <c r="O278" s="4">
        <v>14</v>
      </c>
      <c r="P278" s="4">
        <v>561597.32999999996</v>
      </c>
      <c r="Q278" s="4">
        <v>75072.75</v>
      </c>
    </row>
    <row r="279" spans="1:17" x14ac:dyDescent="0.35">
      <c r="A279" s="4" t="s">
        <v>92</v>
      </c>
      <c r="B279" s="5">
        <v>45717</v>
      </c>
      <c r="C279" s="4" t="s">
        <v>29</v>
      </c>
      <c r="D279" s="4" t="s">
        <v>20</v>
      </c>
      <c r="E279" s="4">
        <v>47648.71</v>
      </c>
      <c r="F279" s="4">
        <v>5767</v>
      </c>
      <c r="G279" s="4">
        <v>0.14099999999999999</v>
      </c>
      <c r="H279" s="4">
        <v>89.8</v>
      </c>
      <c r="I279" s="4">
        <v>1.76</v>
      </c>
      <c r="J279" s="4">
        <v>0</v>
      </c>
      <c r="K279" s="4">
        <v>3.1</v>
      </c>
      <c r="L279" s="4">
        <v>0</v>
      </c>
      <c r="M279" s="4">
        <v>0</v>
      </c>
      <c r="N279" s="4">
        <v>0</v>
      </c>
      <c r="O279" s="4">
        <v>17</v>
      </c>
      <c r="P279" s="4">
        <v>635837.74</v>
      </c>
      <c r="Q279" s="4">
        <v>114740.64</v>
      </c>
    </row>
    <row r="280" spans="1:17" x14ac:dyDescent="0.35">
      <c r="A280" s="4" t="s">
        <v>92</v>
      </c>
      <c r="B280" s="5">
        <v>45748</v>
      </c>
      <c r="C280" s="4" t="s">
        <v>29</v>
      </c>
      <c r="D280" s="4" t="s">
        <v>20</v>
      </c>
      <c r="E280" s="4">
        <v>38297.58</v>
      </c>
      <c r="F280" s="4">
        <v>5893</v>
      </c>
      <c r="G280" s="4">
        <v>0.247</v>
      </c>
      <c r="H280" s="4">
        <v>77.599999999999994</v>
      </c>
      <c r="I280" s="4">
        <v>2.86</v>
      </c>
      <c r="J280" s="4">
        <v>0</v>
      </c>
      <c r="K280" s="4">
        <v>3</v>
      </c>
      <c r="L280" s="4">
        <v>0</v>
      </c>
      <c r="M280" s="4">
        <v>0</v>
      </c>
      <c r="N280" s="4">
        <v>0</v>
      </c>
      <c r="O280" s="4">
        <v>18</v>
      </c>
      <c r="P280" s="4">
        <v>686737.87</v>
      </c>
      <c r="Q280" s="4">
        <v>83839.67</v>
      </c>
    </row>
    <row r="281" spans="1:17" x14ac:dyDescent="0.35">
      <c r="A281" s="4" t="s">
        <v>93</v>
      </c>
      <c r="B281" s="5">
        <v>45658</v>
      </c>
      <c r="C281" s="4" t="s">
        <v>26</v>
      </c>
      <c r="D281" s="4" t="s">
        <v>18</v>
      </c>
      <c r="E281" s="4">
        <v>61784.11</v>
      </c>
      <c r="F281" s="4">
        <v>8564</v>
      </c>
      <c r="G281" s="4">
        <v>0.13</v>
      </c>
      <c r="H281" s="4">
        <v>87.4</v>
      </c>
      <c r="I281" s="4">
        <v>18.14</v>
      </c>
      <c r="J281" s="4">
        <v>1</v>
      </c>
      <c r="K281" s="4">
        <v>3.4</v>
      </c>
      <c r="L281" s="4">
        <v>0</v>
      </c>
      <c r="M281" s="4">
        <v>1</v>
      </c>
      <c r="N281" s="4">
        <v>0</v>
      </c>
      <c r="O281" s="4">
        <v>17</v>
      </c>
      <c r="P281" s="4">
        <v>673076.34</v>
      </c>
      <c r="Q281" s="4">
        <v>93899.76</v>
      </c>
    </row>
    <row r="282" spans="1:17" x14ac:dyDescent="0.35">
      <c r="A282" s="4" t="s">
        <v>93</v>
      </c>
      <c r="B282" s="5">
        <v>45689</v>
      </c>
      <c r="C282" s="4" t="s">
        <v>26</v>
      </c>
      <c r="D282" s="4" t="s">
        <v>18</v>
      </c>
      <c r="E282" s="4">
        <v>36832.33</v>
      </c>
      <c r="F282" s="4">
        <v>8001</v>
      </c>
      <c r="G282" s="4">
        <v>0</v>
      </c>
      <c r="H282" s="4">
        <v>88.7</v>
      </c>
      <c r="I282" s="4">
        <v>3.39</v>
      </c>
      <c r="J282" s="4">
        <v>0</v>
      </c>
      <c r="K282" s="4">
        <v>4</v>
      </c>
      <c r="L282" s="4">
        <v>0</v>
      </c>
      <c r="M282" s="4">
        <v>1</v>
      </c>
      <c r="N282" s="4">
        <v>0</v>
      </c>
      <c r="O282" s="4">
        <v>19</v>
      </c>
      <c r="P282" s="4">
        <v>738548.42</v>
      </c>
      <c r="Q282" s="4">
        <v>134282.76999999999</v>
      </c>
    </row>
    <row r="283" spans="1:17" x14ac:dyDescent="0.35">
      <c r="A283" s="4" t="s">
        <v>93</v>
      </c>
      <c r="B283" s="5">
        <v>45717</v>
      </c>
      <c r="C283" s="4" t="s">
        <v>26</v>
      </c>
      <c r="D283" s="4" t="s">
        <v>18</v>
      </c>
      <c r="E283" s="4">
        <v>48609.41</v>
      </c>
      <c r="F283" s="4">
        <v>9324</v>
      </c>
      <c r="G283" s="4">
        <v>0.21299999999999999</v>
      </c>
      <c r="H283" s="4">
        <v>86.5</v>
      </c>
      <c r="I283" s="4">
        <v>1.44</v>
      </c>
      <c r="J283" s="4">
        <v>0</v>
      </c>
      <c r="K283" s="4">
        <v>3.9</v>
      </c>
      <c r="L283" s="4">
        <v>0</v>
      </c>
      <c r="M283" s="4">
        <v>1</v>
      </c>
      <c r="N283" s="4">
        <v>0</v>
      </c>
      <c r="O283" s="4">
        <v>18</v>
      </c>
      <c r="P283" s="4">
        <v>756619.77</v>
      </c>
      <c r="Q283" s="4">
        <v>112057.69</v>
      </c>
    </row>
    <row r="284" spans="1:17" x14ac:dyDescent="0.35">
      <c r="A284" s="4" t="s">
        <v>93</v>
      </c>
      <c r="B284" s="5">
        <v>45748</v>
      </c>
      <c r="C284" s="4" t="s">
        <v>26</v>
      </c>
      <c r="D284" s="4" t="s">
        <v>18</v>
      </c>
      <c r="E284" s="4">
        <v>70284.06</v>
      </c>
      <c r="F284" s="4">
        <v>9109</v>
      </c>
      <c r="G284" s="4">
        <v>4.0000000000000001E-3</v>
      </c>
      <c r="H284" s="4">
        <v>87</v>
      </c>
      <c r="I284" s="4">
        <v>3.65</v>
      </c>
      <c r="J284" s="4">
        <v>0</v>
      </c>
      <c r="K284" s="4">
        <v>3.7</v>
      </c>
      <c r="L284" s="4">
        <v>0</v>
      </c>
      <c r="M284" s="4">
        <v>1</v>
      </c>
      <c r="N284" s="4">
        <v>0</v>
      </c>
      <c r="O284" s="4">
        <v>23</v>
      </c>
      <c r="P284" s="4">
        <v>761122.42</v>
      </c>
      <c r="Q284" s="4">
        <v>149802.04</v>
      </c>
    </row>
    <row r="285" spans="1:17" x14ac:dyDescent="0.35">
      <c r="A285" s="4" t="s">
        <v>94</v>
      </c>
      <c r="B285" s="5">
        <v>45658</v>
      </c>
      <c r="C285" s="4" t="s">
        <v>26</v>
      </c>
      <c r="D285" s="4" t="s">
        <v>20</v>
      </c>
      <c r="E285" s="4">
        <v>45940.39</v>
      </c>
      <c r="F285" s="4">
        <v>4022</v>
      </c>
      <c r="G285" s="4">
        <v>6.9000000000000006E-2</v>
      </c>
      <c r="H285" s="4">
        <v>83</v>
      </c>
      <c r="I285" s="4">
        <v>1.23</v>
      </c>
      <c r="J285" s="4">
        <v>1</v>
      </c>
      <c r="K285" s="4">
        <v>3.8</v>
      </c>
      <c r="L285" s="4">
        <v>0</v>
      </c>
      <c r="M285" s="4">
        <v>0</v>
      </c>
      <c r="N285" s="4">
        <v>0</v>
      </c>
      <c r="O285" s="4">
        <v>10</v>
      </c>
      <c r="P285" s="4">
        <v>524899.56999999995</v>
      </c>
      <c r="Q285" s="4">
        <v>63619.98</v>
      </c>
    </row>
    <row r="286" spans="1:17" x14ac:dyDescent="0.35">
      <c r="A286" s="4" t="s">
        <v>94</v>
      </c>
      <c r="B286" s="5">
        <v>45689</v>
      </c>
      <c r="C286" s="4" t="s">
        <v>26</v>
      </c>
      <c r="D286" s="4" t="s">
        <v>20</v>
      </c>
      <c r="E286" s="4">
        <v>34771.26</v>
      </c>
      <c r="F286" s="4">
        <v>4355</v>
      </c>
      <c r="G286" s="4">
        <v>5.0999999999999997E-2</v>
      </c>
      <c r="H286" s="4">
        <v>87.9</v>
      </c>
      <c r="I286" s="4">
        <v>3.09</v>
      </c>
      <c r="J286" s="4">
        <v>0</v>
      </c>
      <c r="K286" s="4">
        <v>4</v>
      </c>
      <c r="L286" s="4">
        <v>0</v>
      </c>
      <c r="M286" s="4">
        <v>0</v>
      </c>
      <c r="N286" s="4">
        <v>0</v>
      </c>
      <c r="O286" s="4">
        <v>15</v>
      </c>
      <c r="P286" s="4">
        <v>555557.77</v>
      </c>
      <c r="Q286" s="4">
        <v>86475.51</v>
      </c>
    </row>
    <row r="287" spans="1:17" x14ac:dyDescent="0.35">
      <c r="A287" s="4" t="s">
        <v>94</v>
      </c>
      <c r="B287" s="5">
        <v>45717</v>
      </c>
      <c r="C287" s="4" t="s">
        <v>26</v>
      </c>
      <c r="D287" s="4" t="s">
        <v>20</v>
      </c>
      <c r="E287" s="4">
        <v>66104.19</v>
      </c>
      <c r="F287" s="4">
        <v>5745</v>
      </c>
      <c r="G287" s="4">
        <v>7.0000000000000007E-2</v>
      </c>
      <c r="H287" s="4">
        <v>95.8</v>
      </c>
      <c r="I287" s="4">
        <v>3.15</v>
      </c>
      <c r="J287" s="4">
        <v>0</v>
      </c>
      <c r="K287" s="4">
        <v>4</v>
      </c>
      <c r="L287" s="4">
        <v>0</v>
      </c>
      <c r="M287" s="4">
        <v>0</v>
      </c>
      <c r="N287" s="4">
        <v>0</v>
      </c>
      <c r="O287" s="4">
        <v>17</v>
      </c>
      <c r="P287" s="4">
        <v>714083.68</v>
      </c>
      <c r="Q287" s="4">
        <v>127231.74</v>
      </c>
    </row>
    <row r="288" spans="1:17" x14ac:dyDescent="0.35">
      <c r="A288" s="4" t="s">
        <v>94</v>
      </c>
      <c r="B288" s="5">
        <v>45748</v>
      </c>
      <c r="C288" s="4" t="s">
        <v>26</v>
      </c>
      <c r="D288" s="4" t="s">
        <v>20</v>
      </c>
      <c r="E288" s="4">
        <v>18599.21</v>
      </c>
      <c r="F288" s="4">
        <v>3027</v>
      </c>
      <c r="G288" s="4">
        <v>0.122</v>
      </c>
      <c r="H288" s="4">
        <v>80.900000000000006</v>
      </c>
      <c r="I288" s="4">
        <v>6.44</v>
      </c>
      <c r="J288" s="4">
        <v>0</v>
      </c>
      <c r="K288" s="4">
        <v>4.2</v>
      </c>
      <c r="L288" s="4">
        <v>0</v>
      </c>
      <c r="M288" s="4">
        <v>0</v>
      </c>
      <c r="N288" s="4">
        <v>0</v>
      </c>
      <c r="O288" s="4">
        <v>11</v>
      </c>
      <c r="P288" s="4">
        <v>497439.82</v>
      </c>
      <c r="Q288" s="4">
        <v>93372.75</v>
      </c>
    </row>
    <row r="289" spans="1:17" x14ac:dyDescent="0.35">
      <c r="A289" s="4" t="s">
        <v>95</v>
      </c>
      <c r="B289" s="5">
        <v>45658</v>
      </c>
      <c r="C289" s="4" t="s">
        <v>29</v>
      </c>
      <c r="D289" s="4" t="s">
        <v>18</v>
      </c>
      <c r="E289" s="4">
        <v>60183.06</v>
      </c>
      <c r="F289" s="4">
        <v>5562</v>
      </c>
      <c r="G289" s="4">
        <v>8.9999999999999993E-3</v>
      </c>
      <c r="H289" s="4">
        <v>86.3</v>
      </c>
      <c r="I289" s="4">
        <v>0.2</v>
      </c>
      <c r="J289" s="4">
        <v>1</v>
      </c>
      <c r="K289" s="4">
        <v>4.5</v>
      </c>
      <c r="L289" s="4">
        <v>0</v>
      </c>
      <c r="M289" s="4">
        <v>1</v>
      </c>
      <c r="N289" s="4">
        <v>0</v>
      </c>
      <c r="O289" s="4">
        <v>13</v>
      </c>
      <c r="P289" s="4">
        <v>636775.66</v>
      </c>
      <c r="Q289" s="4">
        <v>122636.86</v>
      </c>
    </row>
    <row r="290" spans="1:17" x14ac:dyDescent="0.35">
      <c r="A290" s="4" t="s">
        <v>95</v>
      </c>
      <c r="B290" s="5">
        <v>45689</v>
      </c>
      <c r="C290" s="4" t="s">
        <v>29</v>
      </c>
      <c r="D290" s="4" t="s">
        <v>18</v>
      </c>
      <c r="E290" s="4">
        <v>74539.14</v>
      </c>
      <c r="F290" s="4">
        <v>4487</v>
      </c>
      <c r="G290" s="4">
        <v>0.14000000000000001</v>
      </c>
      <c r="H290" s="4">
        <v>90.4</v>
      </c>
      <c r="I290" s="4">
        <v>0.59</v>
      </c>
      <c r="J290" s="4">
        <v>0</v>
      </c>
      <c r="K290" s="4">
        <v>4.5</v>
      </c>
      <c r="L290" s="4">
        <v>0</v>
      </c>
      <c r="M290" s="4">
        <v>1</v>
      </c>
      <c r="N290" s="4">
        <v>0</v>
      </c>
      <c r="O290" s="4">
        <v>10</v>
      </c>
      <c r="P290" s="4">
        <v>633009.53</v>
      </c>
      <c r="Q290" s="4">
        <v>123782.67</v>
      </c>
    </row>
    <row r="291" spans="1:17" x14ac:dyDescent="0.35">
      <c r="A291" s="4" t="s">
        <v>95</v>
      </c>
      <c r="B291" s="5">
        <v>45717</v>
      </c>
      <c r="C291" s="4" t="s">
        <v>29</v>
      </c>
      <c r="D291" s="4" t="s">
        <v>18</v>
      </c>
      <c r="E291" s="4">
        <v>55371.97</v>
      </c>
      <c r="F291" s="4">
        <v>4162</v>
      </c>
      <c r="G291" s="4">
        <v>0.183</v>
      </c>
      <c r="H291" s="4">
        <v>92</v>
      </c>
      <c r="I291" s="4">
        <v>0.2</v>
      </c>
      <c r="J291" s="4">
        <v>1</v>
      </c>
      <c r="K291" s="4">
        <v>4.2</v>
      </c>
      <c r="L291" s="4">
        <v>0</v>
      </c>
      <c r="M291" s="4">
        <v>1</v>
      </c>
      <c r="N291" s="4">
        <v>0</v>
      </c>
      <c r="O291" s="4">
        <v>11</v>
      </c>
      <c r="P291" s="4">
        <v>609949</v>
      </c>
      <c r="Q291" s="4">
        <v>126789.25</v>
      </c>
    </row>
    <row r="292" spans="1:17" x14ac:dyDescent="0.35">
      <c r="A292" s="4" t="s">
        <v>95</v>
      </c>
      <c r="B292" s="5">
        <v>45748</v>
      </c>
      <c r="C292" s="4" t="s">
        <v>29</v>
      </c>
      <c r="D292" s="4" t="s">
        <v>18</v>
      </c>
      <c r="E292" s="4">
        <v>40928.69</v>
      </c>
      <c r="F292" s="4">
        <v>4094</v>
      </c>
      <c r="G292" s="4">
        <v>0.17399999999999999</v>
      </c>
      <c r="H292" s="4">
        <v>82.4</v>
      </c>
      <c r="I292" s="4">
        <v>1.36</v>
      </c>
      <c r="J292" s="4">
        <v>0</v>
      </c>
      <c r="K292" s="4">
        <v>4.8</v>
      </c>
      <c r="L292" s="4">
        <v>0</v>
      </c>
      <c r="M292" s="4">
        <v>1</v>
      </c>
      <c r="N292" s="4">
        <v>0</v>
      </c>
      <c r="O292" s="4">
        <v>13</v>
      </c>
      <c r="P292" s="4">
        <v>548103.69999999995</v>
      </c>
      <c r="Q292" s="4">
        <v>99905.52</v>
      </c>
    </row>
    <row r="293" spans="1:17" x14ac:dyDescent="0.35">
      <c r="A293" s="4" t="s">
        <v>96</v>
      </c>
      <c r="B293" s="5">
        <v>45658</v>
      </c>
      <c r="C293" s="4" t="s">
        <v>17</v>
      </c>
      <c r="D293" s="4" t="s">
        <v>18</v>
      </c>
      <c r="E293" s="4">
        <v>70012.41</v>
      </c>
      <c r="F293" s="4">
        <v>8484</v>
      </c>
      <c r="G293" s="4">
        <v>0.27300000000000002</v>
      </c>
      <c r="H293" s="4">
        <v>72.900000000000006</v>
      </c>
      <c r="I293" s="4">
        <v>3.34</v>
      </c>
      <c r="J293" s="4">
        <v>0</v>
      </c>
      <c r="K293" s="4">
        <v>3.7</v>
      </c>
      <c r="L293" s="4">
        <v>0</v>
      </c>
      <c r="M293" s="4">
        <v>1</v>
      </c>
      <c r="N293" s="4">
        <v>0</v>
      </c>
      <c r="O293" s="4">
        <v>23</v>
      </c>
      <c r="P293" s="4">
        <v>729424.42</v>
      </c>
      <c r="Q293" s="4">
        <v>75592.28</v>
      </c>
    </row>
    <row r="294" spans="1:17" x14ac:dyDescent="0.35">
      <c r="A294" s="4" t="s">
        <v>96</v>
      </c>
      <c r="B294" s="5">
        <v>45689</v>
      </c>
      <c r="C294" s="4" t="s">
        <v>17</v>
      </c>
      <c r="D294" s="4" t="s">
        <v>18</v>
      </c>
      <c r="E294" s="4">
        <v>68909.259999999995</v>
      </c>
      <c r="F294" s="4">
        <v>7794</v>
      </c>
      <c r="G294" s="4">
        <v>0.28399999999999997</v>
      </c>
      <c r="H294" s="4">
        <v>89</v>
      </c>
      <c r="I294" s="4">
        <v>0.33</v>
      </c>
      <c r="J294" s="4">
        <v>0</v>
      </c>
      <c r="K294" s="4">
        <v>4</v>
      </c>
      <c r="L294" s="4">
        <v>0</v>
      </c>
      <c r="M294" s="4">
        <v>1</v>
      </c>
      <c r="N294" s="4">
        <v>0</v>
      </c>
      <c r="O294" s="4">
        <v>22</v>
      </c>
      <c r="P294" s="4">
        <v>696261.49</v>
      </c>
      <c r="Q294" s="4">
        <v>72455.350000000006</v>
      </c>
    </row>
    <row r="295" spans="1:17" x14ac:dyDescent="0.35">
      <c r="A295" s="4" t="s">
        <v>96</v>
      </c>
      <c r="B295" s="5">
        <v>45717</v>
      </c>
      <c r="C295" s="4" t="s">
        <v>17</v>
      </c>
      <c r="D295" s="4" t="s">
        <v>18</v>
      </c>
      <c r="E295" s="4">
        <v>56737.3</v>
      </c>
      <c r="F295" s="4">
        <v>8300</v>
      </c>
      <c r="G295" s="4">
        <v>3.2000000000000001E-2</v>
      </c>
      <c r="H295" s="4">
        <v>83.2</v>
      </c>
      <c r="I295" s="4">
        <v>3.44</v>
      </c>
      <c r="J295" s="4">
        <v>1</v>
      </c>
      <c r="K295" s="4">
        <v>4.3</v>
      </c>
      <c r="L295" s="4">
        <v>0</v>
      </c>
      <c r="M295" s="4">
        <v>1</v>
      </c>
      <c r="N295" s="4">
        <v>0</v>
      </c>
      <c r="O295" s="4">
        <v>21</v>
      </c>
      <c r="P295" s="4">
        <v>813316.71</v>
      </c>
      <c r="Q295" s="4">
        <v>110077.42</v>
      </c>
    </row>
    <row r="296" spans="1:17" x14ac:dyDescent="0.35">
      <c r="A296" s="4" t="s">
        <v>96</v>
      </c>
      <c r="B296" s="5">
        <v>45748</v>
      </c>
      <c r="C296" s="4" t="s">
        <v>17</v>
      </c>
      <c r="D296" s="4" t="s">
        <v>18</v>
      </c>
      <c r="E296" s="4">
        <v>54080.91</v>
      </c>
      <c r="F296" s="4">
        <v>7083</v>
      </c>
      <c r="G296" s="4">
        <v>0</v>
      </c>
      <c r="H296" s="4">
        <v>97</v>
      </c>
      <c r="I296" s="4">
        <v>5.33</v>
      </c>
      <c r="J296" s="4">
        <v>0</v>
      </c>
      <c r="K296" s="4">
        <v>4.0999999999999996</v>
      </c>
      <c r="L296" s="4">
        <v>0</v>
      </c>
      <c r="M296" s="4">
        <v>1</v>
      </c>
      <c r="N296" s="4">
        <v>0</v>
      </c>
      <c r="O296" s="4">
        <v>15</v>
      </c>
      <c r="P296" s="4">
        <v>702068.92</v>
      </c>
      <c r="Q296" s="4">
        <v>111266.63</v>
      </c>
    </row>
    <row r="297" spans="1:17" x14ac:dyDescent="0.35">
      <c r="A297" s="4" t="s">
        <v>97</v>
      </c>
      <c r="B297" s="5">
        <v>45658</v>
      </c>
      <c r="C297" s="4" t="s">
        <v>29</v>
      </c>
      <c r="D297" s="4" t="s">
        <v>20</v>
      </c>
      <c r="E297" s="4">
        <v>51996.32</v>
      </c>
      <c r="F297" s="4">
        <v>3834</v>
      </c>
      <c r="G297" s="4">
        <v>9.6000000000000002E-2</v>
      </c>
      <c r="H297" s="4">
        <v>86.7</v>
      </c>
      <c r="I297" s="4">
        <v>6.04</v>
      </c>
      <c r="J297" s="4">
        <v>0</v>
      </c>
      <c r="K297" s="4">
        <v>4.5</v>
      </c>
      <c r="L297" s="4">
        <v>0</v>
      </c>
      <c r="M297" s="4">
        <v>0</v>
      </c>
      <c r="N297" s="4">
        <v>0</v>
      </c>
      <c r="O297" s="4">
        <v>8</v>
      </c>
      <c r="P297" s="4">
        <v>546223.69999999995</v>
      </c>
      <c r="Q297" s="4">
        <v>100769.17</v>
      </c>
    </row>
    <row r="298" spans="1:17" x14ac:dyDescent="0.35">
      <c r="A298" s="4" t="s">
        <v>97</v>
      </c>
      <c r="B298" s="5">
        <v>45689</v>
      </c>
      <c r="C298" s="4" t="s">
        <v>29</v>
      </c>
      <c r="D298" s="4" t="s">
        <v>20</v>
      </c>
      <c r="E298" s="4">
        <v>40102.879999999997</v>
      </c>
      <c r="F298" s="4">
        <v>2358</v>
      </c>
      <c r="G298" s="4">
        <v>0.11899999999999999</v>
      </c>
      <c r="H298" s="4">
        <v>88.7</v>
      </c>
      <c r="I298" s="4">
        <v>1.6</v>
      </c>
      <c r="J298" s="4">
        <v>0</v>
      </c>
      <c r="K298" s="4">
        <v>4.2</v>
      </c>
      <c r="L298" s="4">
        <v>0</v>
      </c>
      <c r="M298" s="4">
        <v>0</v>
      </c>
      <c r="N298" s="4">
        <v>0</v>
      </c>
      <c r="O298" s="4">
        <v>9</v>
      </c>
      <c r="P298" s="4">
        <v>533121.26</v>
      </c>
      <c r="Q298" s="4">
        <v>55063.39</v>
      </c>
    </row>
    <row r="299" spans="1:17" x14ac:dyDescent="0.35">
      <c r="A299" s="4" t="s">
        <v>97</v>
      </c>
      <c r="B299" s="5">
        <v>45717</v>
      </c>
      <c r="C299" s="4" t="s">
        <v>29</v>
      </c>
      <c r="D299" s="4" t="s">
        <v>20</v>
      </c>
      <c r="E299" s="4">
        <v>59825.51</v>
      </c>
      <c r="F299" s="4">
        <v>1231</v>
      </c>
      <c r="G299" s="4">
        <v>0.214</v>
      </c>
      <c r="H299" s="4">
        <v>84.8</v>
      </c>
      <c r="I299" s="4">
        <v>8.9600000000000009</v>
      </c>
      <c r="J299" s="4">
        <v>0</v>
      </c>
      <c r="K299" s="4">
        <v>4.7</v>
      </c>
      <c r="L299" s="4">
        <v>0</v>
      </c>
      <c r="M299" s="4">
        <v>0</v>
      </c>
      <c r="N299" s="4">
        <v>0</v>
      </c>
      <c r="O299" s="4">
        <v>10</v>
      </c>
      <c r="P299" s="4">
        <v>498970.32</v>
      </c>
      <c r="Q299" s="4">
        <v>69656.7</v>
      </c>
    </row>
    <row r="300" spans="1:17" x14ac:dyDescent="0.35">
      <c r="A300" s="4" t="s">
        <v>97</v>
      </c>
      <c r="B300" s="5">
        <v>45748</v>
      </c>
      <c r="C300" s="4" t="s">
        <v>29</v>
      </c>
      <c r="D300" s="4" t="s">
        <v>20</v>
      </c>
      <c r="E300" s="4">
        <v>27398.28</v>
      </c>
      <c r="F300" s="4">
        <v>1723</v>
      </c>
      <c r="G300" s="4">
        <v>0.17100000000000001</v>
      </c>
      <c r="H300" s="4">
        <v>81</v>
      </c>
      <c r="I300" s="4">
        <v>0.74</v>
      </c>
      <c r="J300" s="4">
        <v>0</v>
      </c>
      <c r="K300" s="4">
        <v>4.5999999999999996</v>
      </c>
      <c r="L300" s="4">
        <v>0</v>
      </c>
      <c r="M300" s="4">
        <v>0</v>
      </c>
      <c r="N300" s="4">
        <v>0</v>
      </c>
      <c r="O300" s="4">
        <v>9</v>
      </c>
      <c r="P300" s="4">
        <v>487738.26</v>
      </c>
      <c r="Q300" s="4">
        <v>96435.6</v>
      </c>
    </row>
    <row r="301" spans="1:17" x14ac:dyDescent="0.35">
      <c r="A301" s="4" t="s">
        <v>98</v>
      </c>
      <c r="B301" s="5">
        <v>45658</v>
      </c>
      <c r="C301" s="4" t="s">
        <v>29</v>
      </c>
      <c r="D301" s="4" t="s">
        <v>20</v>
      </c>
      <c r="E301" s="4">
        <v>55599.56</v>
      </c>
      <c r="F301" s="4">
        <v>5896</v>
      </c>
      <c r="G301" s="4">
        <v>3.5999999999999997E-2</v>
      </c>
      <c r="H301" s="4">
        <v>93.1</v>
      </c>
      <c r="I301" s="4">
        <v>6.13</v>
      </c>
      <c r="J301" s="4">
        <v>0</v>
      </c>
      <c r="K301" s="4">
        <v>3.3</v>
      </c>
      <c r="L301" s="4">
        <v>0</v>
      </c>
      <c r="M301" s="4">
        <v>0</v>
      </c>
      <c r="N301" s="4">
        <v>0</v>
      </c>
      <c r="O301" s="4">
        <v>12</v>
      </c>
      <c r="P301" s="4">
        <v>668459.37</v>
      </c>
      <c r="Q301" s="4">
        <v>126435.42</v>
      </c>
    </row>
    <row r="302" spans="1:17" x14ac:dyDescent="0.35">
      <c r="A302" s="4" t="s">
        <v>98</v>
      </c>
      <c r="B302" s="5">
        <v>45689</v>
      </c>
      <c r="C302" s="4" t="s">
        <v>29</v>
      </c>
      <c r="D302" s="4" t="s">
        <v>20</v>
      </c>
      <c r="E302" s="4">
        <v>55477.61</v>
      </c>
      <c r="F302" s="4">
        <v>5903</v>
      </c>
      <c r="G302" s="4">
        <v>0.10199999999999999</v>
      </c>
      <c r="H302" s="4">
        <v>96.2</v>
      </c>
      <c r="I302" s="4">
        <v>1.41</v>
      </c>
      <c r="J302" s="4">
        <v>0</v>
      </c>
      <c r="K302" s="4">
        <v>3.3</v>
      </c>
      <c r="L302" s="4">
        <v>0</v>
      </c>
      <c r="M302" s="4">
        <v>0</v>
      </c>
      <c r="N302" s="4">
        <v>0</v>
      </c>
      <c r="O302" s="4">
        <v>14</v>
      </c>
      <c r="P302" s="4">
        <v>763162.45</v>
      </c>
      <c r="Q302" s="4">
        <v>162524.04999999999</v>
      </c>
    </row>
    <row r="303" spans="1:17" x14ac:dyDescent="0.35">
      <c r="A303" s="4" t="s">
        <v>98</v>
      </c>
      <c r="B303" s="5">
        <v>45717</v>
      </c>
      <c r="C303" s="4" t="s">
        <v>29</v>
      </c>
      <c r="D303" s="4" t="s">
        <v>20</v>
      </c>
      <c r="E303" s="4">
        <v>46174.7</v>
      </c>
      <c r="F303" s="4">
        <v>4898</v>
      </c>
      <c r="G303" s="4">
        <v>0.114</v>
      </c>
      <c r="H303" s="4">
        <v>91.7</v>
      </c>
      <c r="I303" s="4">
        <v>3.75</v>
      </c>
      <c r="J303" s="4">
        <v>0</v>
      </c>
      <c r="K303" s="4">
        <v>3.1</v>
      </c>
      <c r="L303" s="4">
        <v>0</v>
      </c>
      <c r="M303" s="4">
        <v>0</v>
      </c>
      <c r="N303" s="4">
        <v>0</v>
      </c>
      <c r="O303" s="4">
        <v>11</v>
      </c>
      <c r="P303" s="4">
        <v>599017.32999999996</v>
      </c>
      <c r="Q303" s="4">
        <v>134009.92000000001</v>
      </c>
    </row>
    <row r="304" spans="1:17" x14ac:dyDescent="0.35">
      <c r="A304" s="4" t="s">
        <v>98</v>
      </c>
      <c r="B304" s="5">
        <v>45748</v>
      </c>
      <c r="C304" s="4" t="s">
        <v>29</v>
      </c>
      <c r="D304" s="4" t="s">
        <v>20</v>
      </c>
      <c r="E304" s="4">
        <v>24362.98</v>
      </c>
      <c r="F304" s="4">
        <v>1462</v>
      </c>
      <c r="G304" s="4">
        <v>0.11700000000000001</v>
      </c>
      <c r="H304" s="4">
        <v>89.3</v>
      </c>
      <c r="I304" s="4">
        <v>15.06</v>
      </c>
      <c r="J304" s="4">
        <v>0</v>
      </c>
      <c r="K304" s="4">
        <v>3.2</v>
      </c>
      <c r="L304" s="4">
        <v>0</v>
      </c>
      <c r="M304" s="4">
        <v>0</v>
      </c>
      <c r="N304" s="4">
        <v>0</v>
      </c>
      <c r="O304" s="4">
        <v>6</v>
      </c>
      <c r="P304" s="4">
        <v>401582.58</v>
      </c>
      <c r="Q304" s="4">
        <v>68454.929999999993</v>
      </c>
    </row>
    <row r="305" spans="1:17" x14ac:dyDescent="0.35">
      <c r="A305" s="4" t="s">
        <v>99</v>
      </c>
      <c r="B305" s="5">
        <v>45658</v>
      </c>
      <c r="C305" s="4" t="s">
        <v>22</v>
      </c>
      <c r="D305" s="4" t="s">
        <v>30</v>
      </c>
      <c r="E305" s="4">
        <v>40647.67</v>
      </c>
      <c r="F305" s="4">
        <v>8252</v>
      </c>
      <c r="G305" s="4">
        <v>0.14099999999999999</v>
      </c>
      <c r="H305" s="4">
        <v>88.2</v>
      </c>
      <c r="I305" s="4">
        <v>5.07</v>
      </c>
      <c r="J305" s="4">
        <v>1</v>
      </c>
      <c r="K305" s="4">
        <v>4.0999999999999996</v>
      </c>
      <c r="L305" s="4">
        <v>1</v>
      </c>
      <c r="M305" s="4">
        <v>0</v>
      </c>
      <c r="N305" s="4">
        <v>0</v>
      </c>
      <c r="O305" s="4">
        <v>22</v>
      </c>
      <c r="P305" s="4">
        <v>703812.99</v>
      </c>
      <c r="Q305" s="4">
        <v>133577.98000000001</v>
      </c>
    </row>
    <row r="306" spans="1:17" x14ac:dyDescent="0.35">
      <c r="A306" s="4" t="s">
        <v>99</v>
      </c>
      <c r="B306" s="5">
        <v>45689</v>
      </c>
      <c r="C306" s="4" t="s">
        <v>22</v>
      </c>
      <c r="D306" s="4" t="s">
        <v>30</v>
      </c>
      <c r="E306" s="4">
        <v>63986.98</v>
      </c>
      <c r="F306" s="4">
        <v>7989</v>
      </c>
      <c r="G306" s="4">
        <v>7.3999999999999996E-2</v>
      </c>
      <c r="H306" s="4">
        <v>83.3</v>
      </c>
      <c r="I306" s="4">
        <v>3.6</v>
      </c>
      <c r="J306" s="4">
        <v>0</v>
      </c>
      <c r="K306" s="4">
        <v>3.7</v>
      </c>
      <c r="L306" s="4">
        <v>1</v>
      </c>
      <c r="M306" s="4">
        <v>0</v>
      </c>
      <c r="N306" s="4">
        <v>0</v>
      </c>
      <c r="O306" s="4">
        <v>20</v>
      </c>
      <c r="P306" s="4">
        <v>724346.73</v>
      </c>
      <c r="Q306" s="4">
        <v>155013.91</v>
      </c>
    </row>
    <row r="307" spans="1:17" x14ac:dyDescent="0.35">
      <c r="A307" s="4" t="s">
        <v>99</v>
      </c>
      <c r="B307" s="5">
        <v>45717</v>
      </c>
      <c r="C307" s="4" t="s">
        <v>22</v>
      </c>
      <c r="D307" s="4" t="s">
        <v>30</v>
      </c>
      <c r="E307" s="4">
        <v>52843.75</v>
      </c>
      <c r="F307" s="4">
        <v>8268</v>
      </c>
      <c r="G307" s="4">
        <v>0.13800000000000001</v>
      </c>
      <c r="H307" s="4">
        <v>87.3</v>
      </c>
      <c r="I307" s="4">
        <v>4.3899999999999997</v>
      </c>
      <c r="J307" s="4">
        <v>1</v>
      </c>
      <c r="K307" s="4">
        <v>4.7</v>
      </c>
      <c r="L307" s="4">
        <v>1</v>
      </c>
      <c r="M307" s="4">
        <v>0</v>
      </c>
      <c r="N307" s="4">
        <v>0</v>
      </c>
      <c r="O307" s="4">
        <v>19</v>
      </c>
      <c r="P307" s="4">
        <v>730890.01</v>
      </c>
      <c r="Q307" s="4">
        <v>105502.56</v>
      </c>
    </row>
    <row r="308" spans="1:17" x14ac:dyDescent="0.35">
      <c r="A308" s="4" t="s">
        <v>99</v>
      </c>
      <c r="B308" s="5">
        <v>45748</v>
      </c>
      <c r="C308" s="4" t="s">
        <v>22</v>
      </c>
      <c r="D308" s="4" t="s">
        <v>30</v>
      </c>
      <c r="E308" s="4">
        <v>31997.25</v>
      </c>
      <c r="F308" s="4">
        <v>8183</v>
      </c>
      <c r="G308" s="4">
        <v>0.19800000000000001</v>
      </c>
      <c r="H308" s="4">
        <v>93</v>
      </c>
      <c r="I308" s="4">
        <v>2.79</v>
      </c>
      <c r="J308" s="4">
        <v>0</v>
      </c>
      <c r="K308" s="4">
        <v>4.2</v>
      </c>
      <c r="L308" s="4">
        <v>1</v>
      </c>
      <c r="M308" s="4">
        <v>0</v>
      </c>
      <c r="N308" s="4">
        <v>0</v>
      </c>
      <c r="O308" s="4">
        <v>18</v>
      </c>
      <c r="P308" s="4">
        <v>780580.95</v>
      </c>
      <c r="Q308" s="4">
        <v>138144.46</v>
      </c>
    </row>
    <row r="309" spans="1:17" x14ac:dyDescent="0.35">
      <c r="A309" s="4" t="s">
        <v>100</v>
      </c>
      <c r="B309" s="5">
        <v>45658</v>
      </c>
      <c r="C309" s="4" t="s">
        <v>26</v>
      </c>
      <c r="D309" s="4" t="s">
        <v>18</v>
      </c>
      <c r="E309" s="4">
        <v>54948.02</v>
      </c>
      <c r="F309" s="4">
        <v>6534</v>
      </c>
      <c r="G309" s="4">
        <v>0.183</v>
      </c>
      <c r="H309" s="4">
        <v>94.5</v>
      </c>
      <c r="I309" s="4">
        <v>1.56</v>
      </c>
      <c r="J309" s="4">
        <v>0</v>
      </c>
      <c r="K309" s="4">
        <v>4</v>
      </c>
      <c r="L309" s="4">
        <v>0</v>
      </c>
      <c r="M309" s="4">
        <v>1</v>
      </c>
      <c r="N309" s="4">
        <v>0</v>
      </c>
      <c r="O309" s="4">
        <v>14</v>
      </c>
      <c r="P309" s="4">
        <v>727957.48</v>
      </c>
      <c r="Q309" s="4">
        <v>74805.23</v>
      </c>
    </row>
    <row r="310" spans="1:17" x14ac:dyDescent="0.35">
      <c r="A310" s="4" t="s">
        <v>100</v>
      </c>
      <c r="B310" s="5">
        <v>45689</v>
      </c>
      <c r="C310" s="4" t="s">
        <v>26</v>
      </c>
      <c r="D310" s="4" t="s">
        <v>18</v>
      </c>
      <c r="E310" s="4">
        <v>46146.239999999998</v>
      </c>
      <c r="F310" s="4">
        <v>5804</v>
      </c>
      <c r="G310" s="4">
        <v>4.7E-2</v>
      </c>
      <c r="H310" s="4">
        <v>86.9</v>
      </c>
      <c r="I310" s="4">
        <v>15.82</v>
      </c>
      <c r="J310" s="4">
        <v>0</v>
      </c>
      <c r="K310" s="4">
        <v>3.8</v>
      </c>
      <c r="L310" s="4">
        <v>0</v>
      </c>
      <c r="M310" s="4">
        <v>1</v>
      </c>
      <c r="N310" s="4">
        <v>0</v>
      </c>
      <c r="O310" s="4">
        <v>16</v>
      </c>
      <c r="P310" s="4">
        <v>538376</v>
      </c>
      <c r="Q310" s="4">
        <v>87605.62</v>
      </c>
    </row>
    <row r="311" spans="1:17" x14ac:dyDescent="0.35">
      <c r="A311" s="4" t="s">
        <v>100</v>
      </c>
      <c r="B311" s="5">
        <v>45717</v>
      </c>
      <c r="C311" s="4" t="s">
        <v>26</v>
      </c>
      <c r="D311" s="4" t="s">
        <v>18</v>
      </c>
      <c r="E311" s="4">
        <v>22387.26</v>
      </c>
      <c r="F311" s="4">
        <v>6301</v>
      </c>
      <c r="G311" s="4">
        <v>0.14599999999999999</v>
      </c>
      <c r="H311" s="4">
        <v>85.9</v>
      </c>
      <c r="I311" s="4">
        <v>1.17</v>
      </c>
      <c r="J311" s="4">
        <v>1</v>
      </c>
      <c r="K311" s="4">
        <v>3.7</v>
      </c>
      <c r="L311" s="4">
        <v>0</v>
      </c>
      <c r="M311" s="4">
        <v>1</v>
      </c>
      <c r="N311" s="4">
        <v>0</v>
      </c>
      <c r="O311" s="4">
        <v>14</v>
      </c>
      <c r="P311" s="4">
        <v>665342.49</v>
      </c>
      <c r="Q311" s="4">
        <v>93441.81</v>
      </c>
    </row>
    <row r="312" spans="1:17" x14ac:dyDescent="0.35">
      <c r="A312" s="4" t="s">
        <v>100</v>
      </c>
      <c r="B312" s="5">
        <v>45748</v>
      </c>
      <c r="C312" s="4" t="s">
        <v>26</v>
      </c>
      <c r="D312" s="4" t="s">
        <v>18</v>
      </c>
      <c r="E312" s="4">
        <v>60684.05</v>
      </c>
      <c r="F312" s="4">
        <v>6399</v>
      </c>
      <c r="G312" s="4">
        <v>7.4999999999999997E-2</v>
      </c>
      <c r="H312" s="4">
        <v>99</v>
      </c>
      <c r="I312" s="4">
        <v>3.82</v>
      </c>
      <c r="J312" s="4">
        <v>0</v>
      </c>
      <c r="K312" s="4">
        <v>3.5</v>
      </c>
      <c r="L312" s="4">
        <v>0</v>
      </c>
      <c r="M312" s="4">
        <v>1</v>
      </c>
      <c r="N312" s="4">
        <v>0</v>
      </c>
      <c r="O312" s="4">
        <v>16</v>
      </c>
      <c r="P312" s="4">
        <v>651164.18000000005</v>
      </c>
      <c r="Q312" s="4">
        <v>109466.5</v>
      </c>
    </row>
    <row r="313" spans="1:17" x14ac:dyDescent="0.35">
      <c r="A313" s="4" t="s">
        <v>101</v>
      </c>
      <c r="B313" s="5">
        <v>45658</v>
      </c>
      <c r="C313" s="4" t="s">
        <v>26</v>
      </c>
      <c r="D313" s="4" t="s">
        <v>20</v>
      </c>
      <c r="E313" s="4">
        <v>48465.599999999999</v>
      </c>
      <c r="F313" s="4">
        <v>5759</v>
      </c>
      <c r="G313" s="4">
        <v>0.154</v>
      </c>
      <c r="H313" s="4">
        <v>87.5</v>
      </c>
      <c r="I313" s="4">
        <v>4.1399999999999997</v>
      </c>
      <c r="J313" s="4">
        <v>0</v>
      </c>
      <c r="K313" s="4">
        <v>4</v>
      </c>
      <c r="L313" s="4">
        <v>0</v>
      </c>
      <c r="M313" s="4">
        <v>0</v>
      </c>
      <c r="N313" s="4">
        <v>0</v>
      </c>
      <c r="O313" s="4">
        <v>13</v>
      </c>
      <c r="P313" s="4">
        <v>628538.30000000005</v>
      </c>
      <c r="Q313" s="4">
        <v>112509.15</v>
      </c>
    </row>
    <row r="314" spans="1:17" x14ac:dyDescent="0.35">
      <c r="A314" s="4" t="s">
        <v>101</v>
      </c>
      <c r="B314" s="5">
        <v>45689</v>
      </c>
      <c r="C314" s="4" t="s">
        <v>26</v>
      </c>
      <c r="D314" s="4" t="s">
        <v>20</v>
      </c>
      <c r="E314" s="4">
        <v>23702.38</v>
      </c>
      <c r="F314" s="4">
        <v>5285</v>
      </c>
      <c r="G314" s="4">
        <v>0.16700000000000001</v>
      </c>
      <c r="H314" s="4">
        <v>79.7</v>
      </c>
      <c r="I314" s="4">
        <v>1.1000000000000001</v>
      </c>
      <c r="J314" s="4">
        <v>0</v>
      </c>
      <c r="K314" s="4">
        <v>4.3</v>
      </c>
      <c r="L314" s="4">
        <v>0</v>
      </c>
      <c r="M314" s="4">
        <v>0</v>
      </c>
      <c r="N314" s="4">
        <v>0</v>
      </c>
      <c r="O314" s="4">
        <v>14</v>
      </c>
      <c r="P314" s="4">
        <v>536524.84</v>
      </c>
      <c r="Q314" s="4">
        <v>92752.94</v>
      </c>
    </row>
    <row r="315" spans="1:17" x14ac:dyDescent="0.35">
      <c r="A315" s="4" t="s">
        <v>101</v>
      </c>
      <c r="B315" s="5">
        <v>45717</v>
      </c>
      <c r="C315" s="4" t="s">
        <v>26</v>
      </c>
      <c r="D315" s="4" t="s">
        <v>20</v>
      </c>
      <c r="E315" s="4">
        <v>54322.94</v>
      </c>
      <c r="F315" s="4">
        <v>5434</v>
      </c>
      <c r="G315" s="4">
        <v>0.2</v>
      </c>
      <c r="H315" s="4">
        <v>85.7</v>
      </c>
      <c r="I315" s="4">
        <v>10.6</v>
      </c>
      <c r="J315" s="4">
        <v>0</v>
      </c>
      <c r="K315" s="4">
        <v>4.2</v>
      </c>
      <c r="L315" s="4">
        <v>0</v>
      </c>
      <c r="M315" s="4">
        <v>0</v>
      </c>
      <c r="N315" s="4">
        <v>0</v>
      </c>
      <c r="O315" s="4">
        <v>13</v>
      </c>
      <c r="P315" s="4">
        <v>621677.30000000005</v>
      </c>
      <c r="Q315" s="4">
        <v>105192.52</v>
      </c>
    </row>
    <row r="316" spans="1:17" x14ac:dyDescent="0.35">
      <c r="A316" s="4" t="s">
        <v>101</v>
      </c>
      <c r="B316" s="5">
        <v>45748</v>
      </c>
      <c r="C316" s="4" t="s">
        <v>26</v>
      </c>
      <c r="D316" s="4" t="s">
        <v>20</v>
      </c>
      <c r="E316" s="4">
        <v>86026.58</v>
      </c>
      <c r="F316" s="4">
        <v>7479</v>
      </c>
      <c r="G316" s="4">
        <v>0.14199999999999999</v>
      </c>
      <c r="H316" s="4">
        <v>89</v>
      </c>
      <c r="I316" s="4">
        <v>0.9</v>
      </c>
      <c r="J316" s="4">
        <v>0</v>
      </c>
      <c r="K316" s="4">
        <v>3.9</v>
      </c>
      <c r="L316" s="4">
        <v>0</v>
      </c>
      <c r="M316" s="4">
        <v>0</v>
      </c>
      <c r="N316" s="4">
        <v>0</v>
      </c>
      <c r="O316" s="4">
        <v>20</v>
      </c>
      <c r="P316" s="4">
        <v>771129.07</v>
      </c>
      <c r="Q316" s="4">
        <v>116851.13</v>
      </c>
    </row>
    <row r="317" spans="1:17" x14ac:dyDescent="0.35">
      <c r="A317" s="4" t="s">
        <v>102</v>
      </c>
      <c r="B317" s="5">
        <v>45658</v>
      </c>
      <c r="C317" s="4" t="s">
        <v>22</v>
      </c>
      <c r="D317" s="4" t="s">
        <v>18</v>
      </c>
      <c r="E317" s="4">
        <v>78967.520000000004</v>
      </c>
      <c r="F317" s="4">
        <v>6164</v>
      </c>
      <c r="G317" s="4">
        <v>2.1000000000000001E-2</v>
      </c>
      <c r="H317" s="4">
        <v>85.5</v>
      </c>
      <c r="I317" s="4">
        <v>0.2</v>
      </c>
      <c r="J317" s="4">
        <v>0</v>
      </c>
      <c r="K317" s="4">
        <v>3.4</v>
      </c>
      <c r="L317" s="4">
        <v>0</v>
      </c>
      <c r="M317" s="4">
        <v>1</v>
      </c>
      <c r="N317" s="4">
        <v>0</v>
      </c>
      <c r="O317" s="4">
        <v>16</v>
      </c>
      <c r="P317" s="4">
        <v>702052.47</v>
      </c>
      <c r="Q317" s="4">
        <v>121732.51</v>
      </c>
    </row>
    <row r="318" spans="1:17" x14ac:dyDescent="0.35">
      <c r="A318" s="4" t="s">
        <v>102</v>
      </c>
      <c r="B318" s="5">
        <v>45689</v>
      </c>
      <c r="C318" s="4" t="s">
        <v>22</v>
      </c>
      <c r="D318" s="4" t="s">
        <v>18</v>
      </c>
      <c r="E318" s="4">
        <v>46767.99</v>
      </c>
      <c r="F318" s="4">
        <v>7973</v>
      </c>
      <c r="G318" s="4">
        <v>0.183</v>
      </c>
      <c r="H318" s="4">
        <v>94.8</v>
      </c>
      <c r="I318" s="4">
        <v>4.67</v>
      </c>
      <c r="J318" s="4">
        <v>0</v>
      </c>
      <c r="K318" s="4">
        <v>3.9</v>
      </c>
      <c r="L318" s="4">
        <v>0</v>
      </c>
      <c r="M318" s="4">
        <v>1</v>
      </c>
      <c r="N318" s="4">
        <v>0</v>
      </c>
      <c r="O318" s="4">
        <v>18</v>
      </c>
      <c r="P318" s="4">
        <v>688368.46</v>
      </c>
      <c r="Q318" s="4">
        <v>93588.42</v>
      </c>
    </row>
    <row r="319" spans="1:17" x14ac:dyDescent="0.35">
      <c r="A319" s="4" t="s">
        <v>102</v>
      </c>
      <c r="B319" s="5">
        <v>45717</v>
      </c>
      <c r="C319" s="4" t="s">
        <v>22</v>
      </c>
      <c r="D319" s="4" t="s">
        <v>18</v>
      </c>
      <c r="E319" s="4">
        <v>62507.16</v>
      </c>
      <c r="F319" s="4">
        <v>6000</v>
      </c>
      <c r="G319" s="4">
        <v>9.0999999999999998E-2</v>
      </c>
      <c r="H319" s="4">
        <v>98.2</v>
      </c>
      <c r="I319" s="4">
        <v>4.38</v>
      </c>
      <c r="J319" s="4">
        <v>1</v>
      </c>
      <c r="K319" s="4">
        <v>3.9</v>
      </c>
      <c r="L319" s="4">
        <v>0</v>
      </c>
      <c r="M319" s="4">
        <v>1</v>
      </c>
      <c r="N319" s="4">
        <v>0</v>
      </c>
      <c r="O319" s="4">
        <v>14</v>
      </c>
      <c r="P319" s="4">
        <v>712375.77</v>
      </c>
      <c r="Q319" s="4">
        <v>104171.53</v>
      </c>
    </row>
    <row r="320" spans="1:17" x14ac:dyDescent="0.35">
      <c r="A320" s="4" t="s">
        <v>102</v>
      </c>
      <c r="B320" s="5">
        <v>45748</v>
      </c>
      <c r="C320" s="4" t="s">
        <v>22</v>
      </c>
      <c r="D320" s="4" t="s">
        <v>18</v>
      </c>
      <c r="E320" s="4">
        <v>66456.28</v>
      </c>
      <c r="F320" s="4">
        <v>9967</v>
      </c>
      <c r="G320" s="4">
        <v>0.108</v>
      </c>
      <c r="H320" s="4">
        <v>94.7</v>
      </c>
      <c r="I320" s="4">
        <v>4.4800000000000004</v>
      </c>
      <c r="J320" s="4">
        <v>0</v>
      </c>
      <c r="K320" s="4">
        <v>4.2</v>
      </c>
      <c r="L320" s="4">
        <v>0</v>
      </c>
      <c r="M320" s="4">
        <v>1</v>
      </c>
      <c r="N320" s="4">
        <v>0</v>
      </c>
      <c r="O320" s="4">
        <v>20</v>
      </c>
      <c r="P320" s="4">
        <v>844710.67</v>
      </c>
      <c r="Q320" s="4">
        <v>137140.18</v>
      </c>
    </row>
    <row r="321" spans="1:17" x14ac:dyDescent="0.35">
      <c r="A321" s="4" t="s">
        <v>103</v>
      </c>
      <c r="B321" s="5">
        <v>45658</v>
      </c>
      <c r="C321" s="4" t="s">
        <v>17</v>
      </c>
      <c r="D321" s="4" t="s">
        <v>18</v>
      </c>
      <c r="E321" s="4">
        <v>76614.320000000007</v>
      </c>
      <c r="F321" s="4">
        <v>5639</v>
      </c>
      <c r="G321" s="4">
        <v>0.17399999999999999</v>
      </c>
      <c r="H321" s="4">
        <v>92.9</v>
      </c>
      <c r="I321" s="4">
        <v>1.02</v>
      </c>
      <c r="J321" s="4">
        <v>1</v>
      </c>
      <c r="K321" s="4">
        <v>4</v>
      </c>
      <c r="L321" s="4">
        <v>0</v>
      </c>
      <c r="M321" s="4">
        <v>1</v>
      </c>
      <c r="N321" s="4">
        <v>0</v>
      </c>
      <c r="O321" s="4">
        <v>15</v>
      </c>
      <c r="P321" s="4">
        <v>620264.19999999995</v>
      </c>
      <c r="Q321" s="4">
        <v>91365.64</v>
      </c>
    </row>
    <row r="322" spans="1:17" x14ac:dyDescent="0.35">
      <c r="A322" s="4" t="s">
        <v>103</v>
      </c>
      <c r="B322" s="5">
        <v>45689</v>
      </c>
      <c r="C322" s="4" t="s">
        <v>17</v>
      </c>
      <c r="D322" s="4" t="s">
        <v>18</v>
      </c>
      <c r="E322" s="4">
        <v>24088.06</v>
      </c>
      <c r="F322" s="4">
        <v>3466</v>
      </c>
      <c r="G322" s="4">
        <v>0</v>
      </c>
      <c r="H322" s="4">
        <v>88</v>
      </c>
      <c r="I322" s="4">
        <v>0.2</v>
      </c>
      <c r="J322" s="4">
        <v>0</v>
      </c>
      <c r="K322" s="4">
        <v>3.8</v>
      </c>
      <c r="L322" s="4">
        <v>0</v>
      </c>
      <c r="M322" s="4">
        <v>1</v>
      </c>
      <c r="N322" s="4">
        <v>0</v>
      </c>
      <c r="O322" s="4">
        <v>11</v>
      </c>
      <c r="P322" s="4">
        <v>536845.42000000004</v>
      </c>
      <c r="Q322" s="4">
        <v>107473.75</v>
      </c>
    </row>
    <row r="323" spans="1:17" x14ac:dyDescent="0.35">
      <c r="A323" s="4" t="s">
        <v>103</v>
      </c>
      <c r="B323" s="5">
        <v>45717</v>
      </c>
      <c r="C323" s="4" t="s">
        <v>17</v>
      </c>
      <c r="D323" s="4" t="s">
        <v>18</v>
      </c>
      <c r="E323" s="4">
        <v>81902.58</v>
      </c>
      <c r="F323" s="4">
        <v>7775</v>
      </c>
      <c r="G323" s="4">
        <v>0.215</v>
      </c>
      <c r="H323" s="4">
        <v>85.2</v>
      </c>
      <c r="I323" s="4">
        <v>4.8899999999999997</v>
      </c>
      <c r="J323" s="4">
        <v>1</v>
      </c>
      <c r="K323" s="4">
        <v>4.2</v>
      </c>
      <c r="L323" s="4">
        <v>0</v>
      </c>
      <c r="M323" s="4">
        <v>1</v>
      </c>
      <c r="N323" s="4">
        <v>0</v>
      </c>
      <c r="O323" s="4">
        <v>20</v>
      </c>
      <c r="P323" s="4">
        <v>726776.22</v>
      </c>
      <c r="Q323" s="4">
        <v>90804.49</v>
      </c>
    </row>
    <row r="324" spans="1:17" x14ac:dyDescent="0.35">
      <c r="A324" s="4" t="s">
        <v>103</v>
      </c>
      <c r="B324" s="5">
        <v>45748</v>
      </c>
      <c r="C324" s="4" t="s">
        <v>17</v>
      </c>
      <c r="D324" s="4" t="s">
        <v>18</v>
      </c>
      <c r="E324" s="4">
        <v>40553.11</v>
      </c>
      <c r="F324" s="4">
        <v>5317</v>
      </c>
      <c r="G324" s="4">
        <v>0.16500000000000001</v>
      </c>
      <c r="H324" s="4">
        <v>84.3</v>
      </c>
      <c r="I324" s="4">
        <v>11.82</v>
      </c>
      <c r="J324" s="4">
        <v>0</v>
      </c>
      <c r="K324" s="4">
        <v>4.0999999999999996</v>
      </c>
      <c r="L324" s="4">
        <v>0</v>
      </c>
      <c r="M324" s="4">
        <v>1</v>
      </c>
      <c r="N324" s="4">
        <v>0</v>
      </c>
      <c r="O324" s="4">
        <v>17</v>
      </c>
      <c r="P324" s="4">
        <v>559660.84</v>
      </c>
      <c r="Q324" s="4">
        <v>71443.61</v>
      </c>
    </row>
  </sheetData>
  <autoFilter ref="A4:Q324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8"/>
  <sheetViews>
    <sheetView showGridLines="0" zoomScaleNormal="100" workbookViewId="0">
      <selection activeCell="G7" sqref="G7"/>
    </sheetView>
  </sheetViews>
  <sheetFormatPr defaultColWidth="8.6328125" defaultRowHeight="14.5" x14ac:dyDescent="0.35"/>
  <cols>
    <col min="1" max="1" width="26" customWidth="1"/>
    <col min="2" max="2" width="18" customWidth="1"/>
    <col min="3" max="3" width="4" customWidth="1"/>
    <col min="4" max="4" width="38" customWidth="1"/>
  </cols>
  <sheetData>
    <row r="1" spans="1:4" ht="18" x14ac:dyDescent="0.4">
      <c r="A1" s="1" t="s">
        <v>115</v>
      </c>
    </row>
    <row r="2" spans="1:4" x14ac:dyDescent="0.35">
      <c r="A2" s="2" t="s">
        <v>116</v>
      </c>
    </row>
    <row r="4" spans="1:4" x14ac:dyDescent="0.35">
      <c r="A4" s="7" t="s">
        <v>117</v>
      </c>
    </row>
    <row r="5" spans="1:4" x14ac:dyDescent="0.35">
      <c r="A5" s="4">
        <f t="array" ref="A5:B9">LINEST(Dummy_Variables!$P$5:$P$324,Dummy_Variables!$E$5:$E$324,TRUE(),TRUE())</f>
        <v>2.1295753275898281</v>
      </c>
      <c r="B5" s="4">
        <v>560777.34544943704</v>
      </c>
      <c r="D5" s="2" t="s">
        <v>118</v>
      </c>
    </row>
    <row r="6" spans="1:4" x14ac:dyDescent="0.35">
      <c r="A6" s="4">
        <v>0.26647838106932348</v>
      </c>
      <c r="B6" s="4">
        <v>15906.905953068674</v>
      </c>
      <c r="D6" s="2" t="s">
        <v>119</v>
      </c>
    </row>
    <row r="7" spans="1:4" x14ac:dyDescent="0.35">
      <c r="A7" s="4">
        <v>0.16724469112487</v>
      </c>
      <c r="B7" s="4">
        <v>94846.03383215853</v>
      </c>
      <c r="D7" s="2" t="s">
        <v>120</v>
      </c>
    </row>
    <row r="8" spans="1:4" x14ac:dyDescent="0.35">
      <c r="A8" s="4">
        <v>63.864872683367629</v>
      </c>
      <c r="B8" s="4">
        <v>318</v>
      </c>
      <c r="D8" s="2" t="s">
        <v>121</v>
      </c>
    </row>
    <row r="9" spans="1:4" x14ac:dyDescent="0.35">
      <c r="A9" s="4">
        <v>574513714277.01416</v>
      </c>
      <c r="B9" s="4">
        <v>2860654902513.7251</v>
      </c>
      <c r="D9" s="2" t="s">
        <v>122</v>
      </c>
    </row>
    <row r="11" spans="1:4" x14ac:dyDescent="0.35">
      <c r="A11" s="8" t="s">
        <v>123</v>
      </c>
      <c r="B11" s="8" t="s">
        <v>124</v>
      </c>
    </row>
    <row r="12" spans="1:4" x14ac:dyDescent="0.35">
      <c r="A12" s="4" t="s">
        <v>125</v>
      </c>
      <c r="B12" s="4">
        <f>A5</f>
        <v>2.1295753275898281</v>
      </c>
    </row>
    <row r="13" spans="1:4" x14ac:dyDescent="0.35">
      <c r="A13" s="4" t="s">
        <v>126</v>
      </c>
      <c r="B13" s="4">
        <f>B5</f>
        <v>560777.34544943704</v>
      </c>
    </row>
    <row r="14" spans="1:4" x14ac:dyDescent="0.35">
      <c r="A14" s="4" t="s">
        <v>127</v>
      </c>
      <c r="B14" s="9">
        <f>A7</f>
        <v>0.16724469112487</v>
      </c>
    </row>
    <row r="15" spans="1:4" x14ac:dyDescent="0.35">
      <c r="A15" s="4" t="s">
        <v>128</v>
      </c>
      <c r="B15" s="4">
        <f>A6</f>
        <v>0.26647838106932348</v>
      </c>
    </row>
    <row r="16" spans="1:4" x14ac:dyDescent="0.35">
      <c r="A16" s="4" t="s">
        <v>129</v>
      </c>
      <c r="B16" s="4">
        <f>A5/A6</f>
        <v>7.991550080138869</v>
      </c>
    </row>
    <row r="17" spans="1:4" x14ac:dyDescent="0.35">
      <c r="A17" s="4" t="s">
        <v>130</v>
      </c>
      <c r="B17" s="4">
        <f>B8</f>
        <v>318</v>
      </c>
    </row>
    <row r="18" spans="1:4" x14ac:dyDescent="0.35">
      <c r="A18" s="4" t="s">
        <v>131</v>
      </c>
      <c r="B18" s="10">
        <f>_xlfn.T.DIST.2T(ABS(A5/A6),B8)</f>
        <v>2.4800615101360068E-14</v>
      </c>
    </row>
    <row r="19" spans="1:4" x14ac:dyDescent="0.35">
      <c r="A19" s="4" t="s">
        <v>132</v>
      </c>
      <c r="B19" s="4">
        <v>320</v>
      </c>
    </row>
    <row r="20" spans="1:4" x14ac:dyDescent="0.35">
      <c r="A20" s="4" t="s">
        <v>133</v>
      </c>
      <c r="B20" s="4" t="str">
        <f>"monthly_sales = "&amp;TEXT(B5,"#,##0.00")&amp;" + ("&amp;TEXT(A5,"#,##0.0000")&amp;" x marketing_spend)"</f>
        <v>monthly_sales = 560,777.35 + (2.1296 x marketing_spend)</v>
      </c>
    </row>
    <row r="23" spans="1:4" x14ac:dyDescent="0.35">
      <c r="A23" s="7" t="s">
        <v>134</v>
      </c>
    </row>
    <row r="24" spans="1:4" x14ac:dyDescent="0.35">
      <c r="A24" s="4">
        <f t="array" ref="A24:B28">LINEST(Dummy_Variables!$P$5:$P$324,Dummy_Variables!$F$5:$F$324,TRUE(),TRUE())</f>
        <v>35.678031072640458</v>
      </c>
      <c r="B24" s="4">
        <v>446410.58293395344</v>
      </c>
      <c r="D24" s="2" t="s">
        <v>118</v>
      </c>
    </row>
    <row r="25" spans="1:4" x14ac:dyDescent="0.35">
      <c r="A25" s="4">
        <v>1.1973782890340821</v>
      </c>
      <c r="B25" s="4">
        <v>8407.7382630059928</v>
      </c>
      <c r="D25" s="2" t="s">
        <v>119</v>
      </c>
    </row>
    <row r="26" spans="1:4" x14ac:dyDescent="0.35">
      <c r="A26" s="4">
        <v>0.73628534000331114</v>
      </c>
      <c r="B26" s="4">
        <v>53373.736380790499</v>
      </c>
      <c r="D26" s="2" t="s">
        <v>120</v>
      </c>
    </row>
    <row r="27" spans="1:4" x14ac:dyDescent="0.35">
      <c r="A27" s="4">
        <v>887.84877611276033</v>
      </c>
      <c r="B27" s="4">
        <v>318</v>
      </c>
      <c r="D27" s="2" t="s">
        <v>121</v>
      </c>
    </row>
    <row r="28" spans="1:4" x14ac:dyDescent="0.35">
      <c r="A28" s="4">
        <v>2529264292982.4736</v>
      </c>
      <c r="B28" s="4">
        <v>905904323808.26587</v>
      </c>
      <c r="D28" s="2" t="s">
        <v>122</v>
      </c>
    </row>
    <row r="30" spans="1:4" x14ac:dyDescent="0.35">
      <c r="A30" s="8" t="s">
        <v>123</v>
      </c>
      <c r="B30" s="8" t="s">
        <v>124</v>
      </c>
    </row>
    <row r="31" spans="1:4" x14ac:dyDescent="0.35">
      <c r="A31" s="4" t="s">
        <v>125</v>
      </c>
      <c r="B31" s="4">
        <f>A24</f>
        <v>35.678031072640458</v>
      </c>
    </row>
    <row r="32" spans="1:4" x14ac:dyDescent="0.35">
      <c r="A32" s="4" t="s">
        <v>126</v>
      </c>
      <c r="B32" s="4">
        <f>B24</f>
        <v>446410.58293395344</v>
      </c>
    </row>
    <row r="33" spans="1:4" x14ac:dyDescent="0.35">
      <c r="A33" s="4" t="s">
        <v>127</v>
      </c>
      <c r="B33" s="9">
        <f>A26</f>
        <v>0.73628534000331114</v>
      </c>
    </row>
    <row r="34" spans="1:4" x14ac:dyDescent="0.35">
      <c r="A34" s="4" t="s">
        <v>128</v>
      </c>
      <c r="B34" s="4">
        <f>A25</f>
        <v>1.1973782890340821</v>
      </c>
    </row>
    <row r="35" spans="1:4" x14ac:dyDescent="0.35">
      <c r="A35" s="4" t="s">
        <v>129</v>
      </c>
      <c r="B35" s="4">
        <f>A24/A25</f>
        <v>29.796791372776362</v>
      </c>
    </row>
    <row r="36" spans="1:4" x14ac:dyDescent="0.35">
      <c r="A36" s="4" t="s">
        <v>130</v>
      </c>
      <c r="B36" s="4">
        <f>B27</f>
        <v>318</v>
      </c>
    </row>
    <row r="37" spans="1:4" x14ac:dyDescent="0.35">
      <c r="A37" s="4" t="s">
        <v>131</v>
      </c>
      <c r="B37" s="10">
        <f>_xlfn.T.DIST.2T(ABS(A24/A25),B27)</f>
        <v>4.7503615090054677E-94</v>
      </c>
    </row>
    <row r="38" spans="1:4" x14ac:dyDescent="0.35">
      <c r="A38" s="4" t="s">
        <v>132</v>
      </c>
      <c r="B38" s="4">
        <v>320</v>
      </c>
    </row>
    <row r="39" spans="1:4" x14ac:dyDescent="0.35">
      <c r="A39" s="4" t="s">
        <v>133</v>
      </c>
      <c r="B39" s="4" t="str">
        <f>"monthly_sales = "&amp;TEXT(B24,"#,##0.00")&amp;" + ("&amp;TEXT(A24,"#,##0.0000")&amp;" x footfall)"</f>
        <v>monthly_sales = 446,410.58 + (35.6780 x footfall)</v>
      </c>
    </row>
    <row r="42" spans="1:4" x14ac:dyDescent="0.35">
      <c r="A42" s="7" t="s">
        <v>135</v>
      </c>
    </row>
    <row r="43" spans="1:4" x14ac:dyDescent="0.35">
      <c r="A43" s="4">
        <f t="array" ref="A43:B47">LINEST(Dummy_Variables!$P$5:$P$324,Dummy_Variables!$G$5:$G$324,TRUE(),TRUE())</f>
        <v>-138730.45471638071</v>
      </c>
      <c r="B43" s="4">
        <v>697835.62958654074</v>
      </c>
      <c r="D43" s="2" t="s">
        <v>118</v>
      </c>
    </row>
    <row r="44" spans="1:4" x14ac:dyDescent="0.35">
      <c r="A44" s="4">
        <v>85086.379579668472</v>
      </c>
      <c r="B44" s="4">
        <v>12035.418765239492</v>
      </c>
      <c r="D44" s="2" t="s">
        <v>119</v>
      </c>
    </row>
    <row r="45" spans="1:4" x14ac:dyDescent="0.35">
      <c r="A45" s="4">
        <v>8.2905030244002989E-3</v>
      </c>
      <c r="B45" s="4">
        <v>103502.94470614102</v>
      </c>
      <c r="D45" s="2" t="s">
        <v>120</v>
      </c>
    </row>
    <row r="46" spans="1:4" x14ac:dyDescent="0.35">
      <c r="A46" s="4">
        <v>2.658419597472264</v>
      </c>
      <c r="B46" s="4">
        <v>318</v>
      </c>
      <c r="D46" s="2" t="s">
        <v>121</v>
      </c>
    </row>
    <row r="47" spans="1:4" x14ac:dyDescent="0.35">
      <c r="A47" s="4">
        <v>28479275806.828613</v>
      </c>
      <c r="B47" s="4">
        <v>3406689340983.9106</v>
      </c>
      <c r="D47" s="2" t="s">
        <v>122</v>
      </c>
    </row>
    <row r="49" spans="1:2" x14ac:dyDescent="0.35">
      <c r="A49" s="8" t="s">
        <v>123</v>
      </c>
      <c r="B49" s="8" t="s">
        <v>124</v>
      </c>
    </row>
    <row r="50" spans="1:2" x14ac:dyDescent="0.35">
      <c r="A50" s="4" t="s">
        <v>125</v>
      </c>
      <c r="B50" s="4">
        <f>A43</f>
        <v>-138730.45471638071</v>
      </c>
    </row>
    <row r="51" spans="1:2" x14ac:dyDescent="0.35">
      <c r="A51" s="4" t="s">
        <v>126</v>
      </c>
      <c r="B51" s="4">
        <f>B43</f>
        <v>697835.62958654074</v>
      </c>
    </row>
    <row r="52" spans="1:2" x14ac:dyDescent="0.35">
      <c r="A52" s="4" t="s">
        <v>127</v>
      </c>
      <c r="B52" s="9">
        <f>A45</f>
        <v>8.2905030244002989E-3</v>
      </c>
    </row>
    <row r="53" spans="1:2" x14ac:dyDescent="0.35">
      <c r="A53" s="4" t="s">
        <v>128</v>
      </c>
      <c r="B53" s="4">
        <f>A44</f>
        <v>85086.379579668472</v>
      </c>
    </row>
    <row r="54" spans="1:2" x14ac:dyDescent="0.35">
      <c r="A54" s="4" t="s">
        <v>129</v>
      </c>
      <c r="B54" s="4">
        <f>A43/A44</f>
        <v>-1.6304660675623643</v>
      </c>
    </row>
    <row r="55" spans="1:2" x14ac:dyDescent="0.35">
      <c r="A55" s="4" t="s">
        <v>130</v>
      </c>
      <c r="B55" s="4">
        <f>B46</f>
        <v>318</v>
      </c>
    </row>
    <row r="56" spans="1:2" x14ac:dyDescent="0.35">
      <c r="A56" s="4" t="s">
        <v>131</v>
      </c>
      <c r="B56" s="10">
        <f>_xlfn.T.DIST.2T(ABS(A43/A44),B46)</f>
        <v>0.10399304641903374</v>
      </c>
    </row>
    <row r="57" spans="1:2" x14ac:dyDescent="0.35">
      <c r="A57" s="4" t="s">
        <v>132</v>
      </c>
      <c r="B57" s="4">
        <v>320</v>
      </c>
    </row>
    <row r="58" spans="1:2" x14ac:dyDescent="0.35">
      <c r="A58" s="4" t="s">
        <v>133</v>
      </c>
      <c r="B58" s="4" t="str">
        <f>"monthly_sales = "&amp;TEXT(B43,"#,##0.00")&amp;" + ("&amp;TEXT(A43,"#,##0.0000")&amp;" x avg_discount_pct)"</f>
        <v>monthly_sales = 697,835.63 + (-138,730.4547 x avg_discount_pct)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0"/>
  <sheetViews>
    <sheetView showGridLines="0" zoomScaleNormal="100" workbookViewId="0">
      <selection activeCell="A8" sqref="A8"/>
    </sheetView>
  </sheetViews>
  <sheetFormatPr defaultColWidth="8.6328125" defaultRowHeight="14.5" x14ac:dyDescent="0.35"/>
  <cols>
    <col min="1" max="1" width="26" customWidth="1"/>
    <col min="2" max="12" width="14" customWidth="1"/>
    <col min="13" max="13" width="40" customWidth="1"/>
  </cols>
  <sheetData>
    <row r="1" spans="1:15" ht="18" x14ac:dyDescent="0.4">
      <c r="A1" s="1" t="s">
        <v>136</v>
      </c>
    </row>
    <row r="2" spans="1:15" ht="30" customHeight="1" x14ac:dyDescent="0.35">
      <c r="A2" s="6" t="s">
        <v>137</v>
      </c>
    </row>
    <row r="4" spans="1:15" x14ac:dyDescent="0.35">
      <c r="A4" s="7" t="s">
        <v>138</v>
      </c>
    </row>
    <row r="5" spans="1:15" x14ac:dyDescent="0.35">
      <c r="A5" s="2" t="s">
        <v>139</v>
      </c>
    </row>
    <row r="6" spans="1:15" x14ac:dyDescent="0.35">
      <c r="A6" s="4">
        <f t="array" ref="A6:L10">LINEST(Dummy_Variables!$P$5:$P$324,Dummy_Variables!$E$5:$O$324,TRUE(),TRUE())</f>
        <v>3356.653754996179</v>
      </c>
      <c r="B6" s="4">
        <v>23372.26467904474</v>
      </c>
      <c r="C6" s="4">
        <v>-20025.149637073613</v>
      </c>
      <c r="D6" s="4">
        <v>11636.327109639189</v>
      </c>
      <c r="E6" s="4">
        <v>12786.750418708865</v>
      </c>
      <c r="F6" s="4">
        <v>12921.273278353718</v>
      </c>
      <c r="G6" s="4">
        <v>-3113.4835071326647</v>
      </c>
      <c r="H6" s="4">
        <v>3166.2348569658579</v>
      </c>
      <c r="I6" s="4">
        <v>-58513.543345011109</v>
      </c>
      <c r="J6" s="4">
        <v>27.438989021402215</v>
      </c>
      <c r="K6" s="4">
        <v>1.1894992323773934</v>
      </c>
      <c r="L6" s="4">
        <v>69085.084069697827</v>
      </c>
      <c r="N6" s="2" t="s">
        <v>140</v>
      </c>
    </row>
    <row r="7" spans="1:15" x14ac:dyDescent="0.35">
      <c r="A7" s="4">
        <v>1192.392365762209</v>
      </c>
      <c r="B7" s="4">
        <v>8782.0603617213237</v>
      </c>
      <c r="C7" s="4">
        <v>5713.9764752585525</v>
      </c>
      <c r="D7" s="4">
        <v>6153.5683884648133</v>
      </c>
      <c r="E7" s="4">
        <v>4543.5644238284913</v>
      </c>
      <c r="F7" s="4">
        <v>6278.4080868161345</v>
      </c>
      <c r="G7" s="4">
        <v>547.82849277709761</v>
      </c>
      <c r="H7" s="4">
        <v>436.68773142700024</v>
      </c>
      <c r="I7" s="4">
        <v>34343.581971732485</v>
      </c>
      <c r="J7" s="4">
        <v>2.3622212302936516</v>
      </c>
      <c r="K7" s="4">
        <v>0.12025026376497469</v>
      </c>
      <c r="L7" s="4">
        <v>45910.173734154567</v>
      </c>
      <c r="N7" s="2" t="s">
        <v>141</v>
      </c>
    </row>
    <row r="8" spans="1:15" x14ac:dyDescent="0.35">
      <c r="A8" s="4">
        <v>0.84699061819335952</v>
      </c>
      <c r="B8" s="4">
        <v>41310.238442596361</v>
      </c>
      <c r="C8" s="4" t="e">
        <v>#N/A</v>
      </c>
      <c r="D8" s="4" t="e">
        <v>#N/A</v>
      </c>
      <c r="E8" s="4" t="e">
        <v>#N/A</v>
      </c>
      <c r="F8" s="4" t="e">
        <v>#N/A</v>
      </c>
      <c r="G8" s="4" t="e">
        <v>#N/A</v>
      </c>
      <c r="H8" s="4" t="e">
        <v>#N/A</v>
      </c>
      <c r="I8" s="4" t="e">
        <v>#N/A</v>
      </c>
      <c r="J8" s="4" t="e">
        <v>#N/A</v>
      </c>
      <c r="K8" s="4" t="e">
        <v>#N/A</v>
      </c>
      <c r="L8" s="4" t="e">
        <v>#N/A</v>
      </c>
      <c r="N8" s="2" t="s">
        <v>120</v>
      </c>
    </row>
    <row r="9" spans="1:15" x14ac:dyDescent="0.35">
      <c r="A9" s="4">
        <v>154.99531485843067</v>
      </c>
      <c r="B9" s="4">
        <v>308</v>
      </c>
      <c r="C9" s="4" t="e">
        <v>#N/A</v>
      </c>
      <c r="D9" s="4" t="e">
        <v>#N/A</v>
      </c>
      <c r="E9" s="4" t="e">
        <v>#N/A</v>
      </c>
      <c r="F9" s="4" t="e">
        <v>#N/A</v>
      </c>
      <c r="G9" s="4" t="e">
        <v>#N/A</v>
      </c>
      <c r="H9" s="4" t="e">
        <v>#N/A</v>
      </c>
      <c r="I9" s="4" t="e">
        <v>#N/A</v>
      </c>
      <c r="J9" s="4" t="e">
        <v>#N/A</v>
      </c>
      <c r="K9" s="4" t="e">
        <v>#N/A</v>
      </c>
      <c r="L9" s="4" t="e">
        <v>#N/A</v>
      </c>
      <c r="N9" s="2" t="s">
        <v>121</v>
      </c>
      <c r="O9" s="2" t="s">
        <v>142</v>
      </c>
    </row>
    <row r="10" spans="1:15" x14ac:dyDescent="0.35">
      <c r="A10" s="4">
        <v>2909555590334.0161</v>
      </c>
      <c r="B10" s="4">
        <v>525613026456.72314</v>
      </c>
      <c r="C10" s="4" t="e">
        <v>#N/A</v>
      </c>
      <c r="D10" s="4" t="e">
        <v>#N/A</v>
      </c>
      <c r="E10" s="4" t="e">
        <v>#N/A</v>
      </c>
      <c r="F10" s="4" t="e">
        <v>#N/A</v>
      </c>
      <c r="G10" s="4" t="e">
        <v>#N/A</v>
      </c>
      <c r="H10" s="4" t="e">
        <v>#N/A</v>
      </c>
      <c r="I10" s="4" t="e">
        <v>#N/A</v>
      </c>
      <c r="J10" s="4" t="e">
        <v>#N/A</v>
      </c>
      <c r="K10" s="4" t="e">
        <v>#N/A</v>
      </c>
      <c r="L10" s="4" t="e">
        <v>#N/A</v>
      </c>
      <c r="N10" s="2" t="s">
        <v>122</v>
      </c>
    </row>
    <row r="12" spans="1:15" x14ac:dyDescent="0.35">
      <c r="A12" s="7" t="s">
        <v>143</v>
      </c>
    </row>
    <row r="13" spans="1:15" x14ac:dyDescent="0.35">
      <c r="A13" s="3" t="s">
        <v>144</v>
      </c>
      <c r="B13" s="3" t="s">
        <v>145</v>
      </c>
      <c r="C13" s="3" t="s">
        <v>146</v>
      </c>
      <c r="D13" s="3" t="s">
        <v>147</v>
      </c>
      <c r="E13" s="3" t="s">
        <v>148</v>
      </c>
      <c r="F13" s="3" t="s">
        <v>149</v>
      </c>
    </row>
    <row r="14" spans="1:15" x14ac:dyDescent="0.35">
      <c r="A14" s="4" t="s">
        <v>126</v>
      </c>
      <c r="B14" s="4">
        <f>L6</f>
        <v>69085.084069697827</v>
      </c>
      <c r="C14" s="4">
        <f>L7</f>
        <v>45910.173734154567</v>
      </c>
      <c r="D14" s="4">
        <f t="shared" ref="D14:D25" si="0">B14/C14</f>
        <v>1.5047881210325815</v>
      </c>
      <c r="E14" s="9">
        <f>_xlfn.T.DIST.2T(ABS(D14),B9)</f>
        <v>0.13340332107929029</v>
      </c>
      <c r="F14" s="4" t="str">
        <f t="shared" ref="F14:F25" si="1">IF(E14&lt;0.05,"Yes","No")</f>
        <v>No</v>
      </c>
    </row>
    <row r="15" spans="1:15" x14ac:dyDescent="0.35">
      <c r="A15" s="4" t="s">
        <v>6</v>
      </c>
      <c r="B15" s="4">
        <f>K6</f>
        <v>1.1894992323773934</v>
      </c>
      <c r="C15" s="4">
        <f>K7</f>
        <v>0.12025026376497469</v>
      </c>
      <c r="D15" s="4">
        <f t="shared" si="0"/>
        <v>9.8918638108123549</v>
      </c>
      <c r="E15" s="9">
        <f>_xlfn.T.DIST.2T(ABS(D15),B9)</f>
        <v>3.2403942093400264E-20</v>
      </c>
      <c r="F15" s="4" t="str">
        <f t="shared" si="1"/>
        <v>Yes</v>
      </c>
    </row>
    <row r="16" spans="1:15" x14ac:dyDescent="0.35">
      <c r="A16" s="4" t="s">
        <v>7</v>
      </c>
      <c r="B16" s="4">
        <f>J6</f>
        <v>27.438989021402215</v>
      </c>
      <c r="C16" s="4">
        <f>J7</f>
        <v>2.3622212302936516</v>
      </c>
      <c r="D16" s="4">
        <f t="shared" si="0"/>
        <v>11.615757520726046</v>
      </c>
      <c r="E16" s="9">
        <f>_xlfn.T.DIST.2T(ABS(D16),B9)</f>
        <v>4.1126792011177495E-26</v>
      </c>
      <c r="F16" s="4" t="str">
        <f t="shared" si="1"/>
        <v>Yes</v>
      </c>
    </row>
    <row r="17" spans="1:6" x14ac:dyDescent="0.35">
      <c r="A17" s="4" t="s">
        <v>8</v>
      </c>
      <c r="B17" s="4">
        <f>I6</f>
        <v>-58513.543345011109</v>
      </c>
      <c r="C17" s="4">
        <f>I7</f>
        <v>34343.581971732485</v>
      </c>
      <c r="D17" s="4">
        <f t="shared" si="0"/>
        <v>-1.7037693794774358</v>
      </c>
      <c r="E17" s="9">
        <f>_xlfn.T.DIST.2T(ABS(D17),B9)</f>
        <v>8.9432803585524953E-2</v>
      </c>
      <c r="F17" s="4" t="str">
        <f t="shared" si="1"/>
        <v>No</v>
      </c>
    </row>
    <row r="18" spans="1:6" x14ac:dyDescent="0.35">
      <c r="A18" s="4" t="s">
        <v>10</v>
      </c>
      <c r="B18" s="4">
        <f>H6</f>
        <v>3166.2348569658579</v>
      </c>
      <c r="C18" s="4">
        <f>H7</f>
        <v>436.68773142700024</v>
      </c>
      <c r="D18" s="4">
        <f t="shared" si="0"/>
        <v>7.2505697529428934</v>
      </c>
      <c r="E18" s="9">
        <f>_xlfn.T.DIST.2T(ABS(D18),B9)</f>
        <v>3.3717327247428827E-12</v>
      </c>
      <c r="F18" s="4" t="str">
        <f t="shared" si="1"/>
        <v>Yes</v>
      </c>
    </row>
    <row r="19" spans="1:6" x14ac:dyDescent="0.35">
      <c r="A19" s="4" t="s">
        <v>11</v>
      </c>
      <c r="B19" s="4">
        <f>G6</f>
        <v>-3113.4835071326647</v>
      </c>
      <c r="C19" s="4">
        <f>G7</f>
        <v>547.82849277709761</v>
      </c>
      <c r="D19" s="4">
        <f t="shared" si="0"/>
        <v>-5.6833179511155691</v>
      </c>
      <c r="E19" s="9">
        <f>_xlfn.T.DIST.2T(ABS(D19),B9)</f>
        <v>3.0635519136292531E-8</v>
      </c>
      <c r="F19" s="4" t="str">
        <f t="shared" si="1"/>
        <v>Yes</v>
      </c>
    </row>
    <row r="20" spans="1:6" x14ac:dyDescent="0.35">
      <c r="A20" s="4" t="s">
        <v>12</v>
      </c>
      <c r="B20" s="4">
        <f>F6</f>
        <v>12921.273278353718</v>
      </c>
      <c r="C20" s="4">
        <f>F7</f>
        <v>6278.4080868161345</v>
      </c>
      <c r="D20" s="4">
        <f t="shared" si="0"/>
        <v>2.058049285691824</v>
      </c>
      <c r="E20" s="9">
        <f>_xlfn.T.DIST.2T(ABS(D20),B9)</f>
        <v>4.0426554560326559E-2</v>
      </c>
      <c r="F20" s="4" t="str">
        <f t="shared" si="1"/>
        <v>Yes</v>
      </c>
    </row>
    <row r="21" spans="1:6" x14ac:dyDescent="0.35">
      <c r="A21" s="4" t="s">
        <v>13</v>
      </c>
      <c r="B21" s="4">
        <f>E6</f>
        <v>12786.750418708865</v>
      </c>
      <c r="C21" s="4">
        <f>E7</f>
        <v>4543.5644238284913</v>
      </c>
      <c r="D21" s="4">
        <f t="shared" si="0"/>
        <v>2.8142553347872448</v>
      </c>
      <c r="E21" s="9">
        <f>_xlfn.T.DIST.2T(ABS(D21),B9)</f>
        <v>5.2036778359367888E-3</v>
      </c>
      <c r="F21" s="4" t="str">
        <f t="shared" si="1"/>
        <v>Yes</v>
      </c>
    </row>
    <row r="22" spans="1:6" x14ac:dyDescent="0.35">
      <c r="A22" s="4" t="s">
        <v>112</v>
      </c>
      <c r="B22" s="4">
        <f>D6</f>
        <v>11636.327109639189</v>
      </c>
      <c r="C22" s="4">
        <f>D7</f>
        <v>6153.5683884648133</v>
      </c>
      <c r="D22" s="4">
        <f t="shared" si="0"/>
        <v>1.8909885086273022</v>
      </c>
      <c r="E22" s="9">
        <f>_xlfn.T.DIST.2T(ABS(D22),B9)</f>
        <v>5.9564182990015813E-2</v>
      </c>
      <c r="F22" s="4" t="str">
        <f t="shared" si="1"/>
        <v>No</v>
      </c>
    </row>
    <row r="23" spans="1:6" x14ac:dyDescent="0.35">
      <c r="A23" s="4" t="s">
        <v>113</v>
      </c>
      <c r="B23" s="4">
        <f>C6</f>
        <v>-20025.149637073613</v>
      </c>
      <c r="C23" s="4">
        <f>C7</f>
        <v>5713.9764752585525</v>
      </c>
      <c r="D23" s="4">
        <f t="shared" si="0"/>
        <v>-3.5045908438339333</v>
      </c>
      <c r="E23" s="9">
        <f>_xlfn.T.DIST.2T(ABS(D23),B9)</f>
        <v>5.2516535336377386E-4</v>
      </c>
      <c r="F23" s="4" t="str">
        <f t="shared" si="1"/>
        <v>Yes</v>
      </c>
    </row>
    <row r="24" spans="1:6" x14ac:dyDescent="0.35">
      <c r="A24" s="4" t="s">
        <v>114</v>
      </c>
      <c r="B24" s="4">
        <f>B6</f>
        <v>23372.26467904474</v>
      </c>
      <c r="C24" s="4">
        <f>B7</f>
        <v>8782.0603617213237</v>
      </c>
      <c r="D24" s="4">
        <f t="shared" si="0"/>
        <v>2.661364613356366</v>
      </c>
      <c r="E24" s="9">
        <f>_xlfn.T.DIST.2T(ABS(D24),B9)</f>
        <v>8.1906292768146507E-3</v>
      </c>
      <c r="F24" s="4" t="str">
        <f t="shared" si="1"/>
        <v>Yes</v>
      </c>
    </row>
    <row r="25" spans="1:6" x14ac:dyDescent="0.35">
      <c r="A25" s="4" t="s">
        <v>9</v>
      </c>
      <c r="B25" s="4">
        <f>A6</f>
        <v>3356.653754996179</v>
      </c>
      <c r="C25" s="4">
        <f>A7</f>
        <v>1192.392365762209</v>
      </c>
      <c r="D25" s="4">
        <f t="shared" si="0"/>
        <v>2.8150580726424868</v>
      </c>
      <c r="E25" s="9">
        <f>_xlfn.T.DIST.2T(ABS(D25),B9)</f>
        <v>5.1910277043199626E-3</v>
      </c>
      <c r="F25" s="4" t="str">
        <f t="shared" si="1"/>
        <v>Yes</v>
      </c>
    </row>
    <row r="27" spans="1:6" x14ac:dyDescent="0.35">
      <c r="A27" s="11" t="s">
        <v>127</v>
      </c>
      <c r="B27" s="9">
        <f>A8</f>
        <v>0.84699061819335952</v>
      </c>
    </row>
    <row r="28" spans="1:6" x14ac:dyDescent="0.35">
      <c r="A28" s="11" t="s">
        <v>150</v>
      </c>
      <c r="B28" s="9">
        <f>1-(1-A8)*(320-1)/(320-11-1)</f>
        <v>0.84152599741455092</v>
      </c>
    </row>
    <row r="29" spans="1:6" x14ac:dyDescent="0.35">
      <c r="A29" s="11" t="s">
        <v>151</v>
      </c>
      <c r="B29" s="4">
        <f>A9</f>
        <v>154.99531485843067</v>
      </c>
    </row>
    <row r="30" spans="1:6" x14ac:dyDescent="0.35">
      <c r="A30" s="11" t="s">
        <v>152</v>
      </c>
      <c r="B30" s="4">
        <v>11</v>
      </c>
    </row>
    <row r="31" spans="1:6" x14ac:dyDescent="0.35">
      <c r="A31" s="11" t="s">
        <v>153</v>
      </c>
      <c r="B31" s="4">
        <v>320</v>
      </c>
    </row>
    <row r="34" spans="1:14" x14ac:dyDescent="0.35">
      <c r="A34" s="7" t="s">
        <v>154</v>
      </c>
    </row>
    <row r="35" spans="1:14" x14ac:dyDescent="0.35">
      <c r="A35" s="2" t="s">
        <v>155</v>
      </c>
    </row>
    <row r="36" spans="1:14" x14ac:dyDescent="0.35">
      <c r="A36" s="4">
        <f t="array" ref="A36:K40">LINEST(Dummy_Variables!$P$5:$P$324,Dummy_Variables!$E$5:$N$324,TRUE(),TRUE())</f>
        <v>24123.169785075188</v>
      </c>
      <c r="B36" s="4">
        <v>-18844.932802066003</v>
      </c>
      <c r="C36" s="4">
        <v>11948.282863258435</v>
      </c>
      <c r="D36" s="4">
        <v>12309.477454598369</v>
      </c>
      <c r="E36" s="4">
        <v>12000.525256600864</v>
      </c>
      <c r="F36" s="4">
        <v>-3039.4859638625567</v>
      </c>
      <c r="G36" s="4">
        <v>3117.0904170732761</v>
      </c>
      <c r="H36" s="4">
        <v>-53647.682391056136</v>
      </c>
      <c r="I36" s="4">
        <v>33.494547550943096</v>
      </c>
      <c r="J36" s="4">
        <v>1.2074729008270695</v>
      </c>
      <c r="K36" s="4">
        <v>88595.773022878609</v>
      </c>
      <c r="M36" s="2" t="s">
        <v>140</v>
      </c>
    </row>
    <row r="37" spans="1:14" x14ac:dyDescent="0.35">
      <c r="A37" s="4">
        <v>8875.8190495532399</v>
      </c>
      <c r="B37" s="4">
        <v>5762.0723560560164</v>
      </c>
      <c r="C37" s="4">
        <v>6221.1267101224239</v>
      </c>
      <c r="D37" s="4">
        <v>4590.9923823991048</v>
      </c>
      <c r="E37" s="4">
        <v>6339.7459387802546</v>
      </c>
      <c r="F37" s="4">
        <v>553.29473954727098</v>
      </c>
      <c r="G37" s="4">
        <v>441.20062304569939</v>
      </c>
      <c r="H37" s="4">
        <v>34682.251538748664</v>
      </c>
      <c r="I37" s="4">
        <v>0.98695234905366602</v>
      </c>
      <c r="J37" s="4">
        <v>0.12141866120487231</v>
      </c>
      <c r="K37" s="4">
        <v>45889.702286607928</v>
      </c>
      <c r="M37" s="2" t="s">
        <v>141</v>
      </c>
    </row>
    <row r="38" spans="1:14" x14ac:dyDescent="0.35">
      <c r="A38" s="4">
        <v>0.8430538298968544</v>
      </c>
      <c r="B38" s="4">
        <v>41770.545903314785</v>
      </c>
      <c r="C38" s="4" t="e">
        <v>#N/A</v>
      </c>
      <c r="D38" s="4" t="e">
        <v>#N/A</v>
      </c>
      <c r="E38" s="4" t="e">
        <v>#N/A</v>
      </c>
      <c r="F38" s="4" t="e">
        <v>#N/A</v>
      </c>
      <c r="G38" s="4" t="e">
        <v>#N/A</v>
      </c>
      <c r="H38" s="4" t="e">
        <v>#N/A</v>
      </c>
      <c r="I38" s="4" t="e">
        <v>#N/A</v>
      </c>
      <c r="J38" s="4" t="e">
        <v>#N/A</v>
      </c>
      <c r="K38" s="4" t="e">
        <v>#N/A</v>
      </c>
      <c r="M38" s="2" t="s">
        <v>120</v>
      </c>
    </row>
    <row r="39" spans="1:14" x14ac:dyDescent="0.35">
      <c r="A39" s="4">
        <v>165.98279095751374</v>
      </c>
      <c r="B39" s="4">
        <v>309</v>
      </c>
      <c r="C39" s="4" t="e">
        <v>#N/A</v>
      </c>
      <c r="D39" s="4" t="e">
        <v>#N/A</v>
      </c>
      <c r="E39" s="4" t="e">
        <v>#N/A</v>
      </c>
      <c r="F39" s="4" t="e">
        <v>#N/A</v>
      </c>
      <c r="G39" s="4" t="e">
        <v>#N/A</v>
      </c>
      <c r="H39" s="4" t="e">
        <v>#N/A</v>
      </c>
      <c r="I39" s="4" t="e">
        <v>#N/A</v>
      </c>
      <c r="J39" s="4" t="e">
        <v>#N/A</v>
      </c>
      <c r="K39" s="4" t="e">
        <v>#N/A</v>
      </c>
      <c r="M39" s="2" t="s">
        <v>121</v>
      </c>
      <c r="N39" s="2" t="s">
        <v>142</v>
      </c>
    </row>
    <row r="40" spans="1:14" x14ac:dyDescent="0.35">
      <c r="A40" s="4">
        <v>2896032058726.9126</v>
      </c>
      <c r="B40" s="4">
        <v>539136558063.82666</v>
      </c>
      <c r="C40" s="4" t="e">
        <v>#N/A</v>
      </c>
      <c r="D40" s="4" t="e">
        <v>#N/A</v>
      </c>
      <c r="E40" s="4" t="e">
        <v>#N/A</v>
      </c>
      <c r="F40" s="4" t="e">
        <v>#N/A</v>
      </c>
      <c r="G40" s="4" t="e">
        <v>#N/A</v>
      </c>
      <c r="H40" s="4" t="e">
        <v>#N/A</v>
      </c>
      <c r="I40" s="4" t="e">
        <v>#N/A</v>
      </c>
      <c r="J40" s="4" t="e">
        <v>#N/A</v>
      </c>
      <c r="K40" s="4" t="e">
        <v>#N/A</v>
      </c>
      <c r="M40" s="2" t="s">
        <v>122</v>
      </c>
    </row>
    <row r="42" spans="1:14" x14ac:dyDescent="0.35">
      <c r="A42" s="7" t="s">
        <v>143</v>
      </c>
    </row>
    <row r="43" spans="1:14" x14ac:dyDescent="0.35">
      <c r="A43" s="3" t="s">
        <v>144</v>
      </c>
      <c r="B43" s="3" t="s">
        <v>145</v>
      </c>
      <c r="C43" s="3" t="s">
        <v>146</v>
      </c>
      <c r="D43" s="3" t="s">
        <v>147</v>
      </c>
      <c r="E43" s="3" t="s">
        <v>148</v>
      </c>
      <c r="F43" s="3" t="s">
        <v>149</v>
      </c>
    </row>
    <row r="44" spans="1:14" x14ac:dyDescent="0.35">
      <c r="A44" s="4" t="s">
        <v>126</v>
      </c>
      <c r="B44" s="4">
        <f>K36</f>
        <v>88595.773022878609</v>
      </c>
      <c r="C44" s="4">
        <f>K37</f>
        <v>45889.702286607928</v>
      </c>
      <c r="D44" s="4">
        <f t="shared" ref="D44:D54" si="2">B44/C44</f>
        <v>1.9306242709866885</v>
      </c>
      <c r="E44" s="9">
        <f>_xlfn.T.DIST.2T(ABS(D44),B39)</f>
        <v>5.4444286662026227E-2</v>
      </c>
      <c r="F44" s="4" t="str">
        <f t="shared" ref="F44:F54" si="3">IF(E44&lt;0.05,"Yes","No")</f>
        <v>No</v>
      </c>
    </row>
    <row r="45" spans="1:14" x14ac:dyDescent="0.35">
      <c r="A45" s="4" t="s">
        <v>6</v>
      </c>
      <c r="B45" s="4">
        <f>J36</f>
        <v>1.2074729008270695</v>
      </c>
      <c r="C45" s="4">
        <f>J37</f>
        <v>0.12141866120487231</v>
      </c>
      <c r="D45" s="4">
        <f t="shared" si="2"/>
        <v>9.9447061007341748</v>
      </c>
      <c r="E45" s="9">
        <f>_xlfn.T.DIST.2T(ABS(D45),B39)</f>
        <v>2.1307626171750951E-20</v>
      </c>
      <c r="F45" s="4" t="str">
        <f t="shared" si="3"/>
        <v>Yes</v>
      </c>
    </row>
    <row r="46" spans="1:14" x14ac:dyDescent="0.35">
      <c r="A46" s="4" t="s">
        <v>7</v>
      </c>
      <c r="B46" s="4">
        <f>I36</f>
        <v>33.494547550943096</v>
      </c>
      <c r="C46" s="4">
        <f>I37</f>
        <v>0.98695234905366602</v>
      </c>
      <c r="D46" s="4">
        <f t="shared" si="2"/>
        <v>33.937350251062441</v>
      </c>
      <c r="E46" s="9">
        <f>_xlfn.T.DIST.2T(ABS(D46),B39)</f>
        <v>3.0181542843773745E-106</v>
      </c>
      <c r="F46" s="4" t="str">
        <f t="shared" si="3"/>
        <v>Yes</v>
      </c>
    </row>
    <row r="47" spans="1:14" x14ac:dyDescent="0.35">
      <c r="A47" s="4" t="s">
        <v>8</v>
      </c>
      <c r="B47" s="4">
        <f>H36</f>
        <v>-53647.682391056136</v>
      </c>
      <c r="C47" s="4">
        <f>H37</f>
        <v>34682.251538748664</v>
      </c>
      <c r="D47" s="4">
        <f t="shared" si="2"/>
        <v>-1.5468338994980873</v>
      </c>
      <c r="E47" s="9">
        <f>_xlfn.T.DIST.2T(ABS(D47),B39)</f>
        <v>0.12292683482194702</v>
      </c>
      <c r="F47" s="4" t="str">
        <f t="shared" si="3"/>
        <v>No</v>
      </c>
    </row>
    <row r="48" spans="1:14" x14ac:dyDescent="0.35">
      <c r="A48" s="4" t="s">
        <v>10</v>
      </c>
      <c r="B48" s="4">
        <f>G36</f>
        <v>3117.0904170732761</v>
      </c>
      <c r="C48" s="4">
        <f>G37</f>
        <v>441.20062304569939</v>
      </c>
      <c r="D48" s="4">
        <f t="shared" si="2"/>
        <v>7.0650181669177039</v>
      </c>
      <c r="E48" s="9">
        <f>_xlfn.T.DIST.2T(ABS(D48),B39)</f>
        <v>1.0695859622466387E-11</v>
      </c>
      <c r="F48" s="4" t="str">
        <f t="shared" si="3"/>
        <v>Yes</v>
      </c>
    </row>
    <row r="49" spans="1:6" x14ac:dyDescent="0.35">
      <c r="A49" s="4" t="s">
        <v>11</v>
      </c>
      <c r="B49" s="4">
        <f>F36</f>
        <v>-3039.4859638625567</v>
      </c>
      <c r="C49" s="4">
        <f>F37</f>
        <v>553.29473954727098</v>
      </c>
      <c r="D49" s="4">
        <f t="shared" si="2"/>
        <v>-5.4934300773392346</v>
      </c>
      <c r="E49" s="9">
        <f>_xlfn.T.DIST.2T(ABS(D49),B39)</f>
        <v>8.2461150416465071E-8</v>
      </c>
      <c r="F49" s="4" t="str">
        <f t="shared" si="3"/>
        <v>Yes</v>
      </c>
    </row>
    <row r="50" spans="1:6" x14ac:dyDescent="0.35">
      <c r="A50" s="4" t="s">
        <v>12</v>
      </c>
      <c r="B50" s="4">
        <f>E36</f>
        <v>12000.525256600864</v>
      </c>
      <c r="C50" s="4">
        <f>E37</f>
        <v>6339.7459387802546</v>
      </c>
      <c r="D50" s="4">
        <f t="shared" si="2"/>
        <v>1.8929031813709751</v>
      </c>
      <c r="E50" s="9">
        <f>_xlfn.T.DIST.2T(ABS(D50),B39)</f>
        <v>5.9305061375941284E-2</v>
      </c>
      <c r="F50" s="4" t="str">
        <f t="shared" si="3"/>
        <v>No</v>
      </c>
    </row>
    <row r="51" spans="1:6" x14ac:dyDescent="0.35">
      <c r="A51" s="4" t="s">
        <v>13</v>
      </c>
      <c r="B51" s="4">
        <f>D36</f>
        <v>12309.477454598369</v>
      </c>
      <c r="C51" s="4">
        <f>D37</f>
        <v>4590.9923823991048</v>
      </c>
      <c r="D51" s="4">
        <f t="shared" si="2"/>
        <v>2.6812236722043594</v>
      </c>
      <c r="E51" s="9">
        <f>_xlfn.T.DIST.2T(ABS(D51),B39)</f>
        <v>7.7293221596217024E-3</v>
      </c>
      <c r="F51" s="4" t="str">
        <f t="shared" si="3"/>
        <v>Yes</v>
      </c>
    </row>
    <row r="52" spans="1:6" x14ac:dyDescent="0.35">
      <c r="A52" s="4" t="s">
        <v>112</v>
      </c>
      <c r="B52" s="4">
        <f>C36</f>
        <v>11948.282863258435</v>
      </c>
      <c r="C52" s="4">
        <f>C37</f>
        <v>6221.1267101224239</v>
      </c>
      <c r="D52" s="4">
        <f t="shared" si="2"/>
        <v>1.9205978948825024</v>
      </c>
      <c r="E52" s="9">
        <f>_xlfn.T.DIST.2T(ABS(D52),B39)</f>
        <v>5.5702524785136966E-2</v>
      </c>
      <c r="F52" s="4" t="str">
        <f t="shared" si="3"/>
        <v>No</v>
      </c>
    </row>
    <row r="53" spans="1:6" x14ac:dyDescent="0.35">
      <c r="A53" s="4" t="s">
        <v>113</v>
      </c>
      <c r="B53" s="4">
        <f>B36</f>
        <v>-18844.932802066003</v>
      </c>
      <c r="C53" s="4">
        <f>B37</f>
        <v>5762.0723560560164</v>
      </c>
      <c r="D53" s="4">
        <f t="shared" si="2"/>
        <v>-3.2705130441931578</v>
      </c>
      <c r="E53" s="9">
        <f>_xlfn.T.DIST.2T(ABS(D53),B39)</f>
        <v>1.1948199084894084E-3</v>
      </c>
      <c r="F53" s="4" t="str">
        <f t="shared" si="3"/>
        <v>Yes</v>
      </c>
    </row>
    <row r="54" spans="1:6" x14ac:dyDescent="0.35">
      <c r="A54" s="4" t="s">
        <v>114</v>
      </c>
      <c r="B54" s="4">
        <f>A36</f>
        <v>24123.169785075188</v>
      </c>
      <c r="C54" s="4">
        <f>A37</f>
        <v>8875.8190495532399</v>
      </c>
      <c r="D54" s="4">
        <f t="shared" si="2"/>
        <v>2.7178528145286398</v>
      </c>
      <c r="E54" s="9">
        <f>_xlfn.T.DIST.2T(ABS(D54),B39)</f>
        <v>6.9415309150685544E-3</v>
      </c>
      <c r="F54" s="4" t="str">
        <f t="shared" si="3"/>
        <v>Yes</v>
      </c>
    </row>
    <row r="56" spans="1:6" x14ac:dyDescent="0.35">
      <c r="A56" s="11" t="s">
        <v>127</v>
      </c>
      <c r="B56" s="9">
        <f>A38</f>
        <v>0.8430538298968544</v>
      </c>
    </row>
    <row r="57" spans="1:6" x14ac:dyDescent="0.35">
      <c r="A57" s="11" t="s">
        <v>150</v>
      </c>
      <c r="B57" s="9">
        <f>1-(1-A38)*(320-1)/(320-10-1)</f>
        <v>0.83797466581584645</v>
      </c>
    </row>
    <row r="58" spans="1:6" x14ac:dyDescent="0.35">
      <c r="A58" s="11" t="s">
        <v>151</v>
      </c>
      <c r="B58" s="4">
        <f>A39</f>
        <v>165.98279095751374</v>
      </c>
    </row>
    <row r="59" spans="1:6" x14ac:dyDescent="0.35">
      <c r="A59" s="11" t="s">
        <v>152</v>
      </c>
      <c r="B59" s="4">
        <v>10</v>
      </c>
    </row>
    <row r="60" spans="1:6" x14ac:dyDescent="0.35">
      <c r="A60" s="11" t="s">
        <v>153</v>
      </c>
      <c r="B60" s="4">
        <v>320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42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2" width="11" customWidth="1"/>
    <col min="3" max="3" width="9" customWidth="1"/>
    <col min="4" max="4" width="12" customWidth="1"/>
    <col min="5" max="5" width="14" customWidth="1"/>
    <col min="6" max="6" width="15" customWidth="1"/>
    <col min="7" max="7" width="12" customWidth="1"/>
    <col min="8" max="8" width="13" customWidth="1"/>
  </cols>
  <sheetData>
    <row r="1" spans="1:8" ht="18" x14ac:dyDescent="0.4">
      <c r="A1" s="1" t="s">
        <v>156</v>
      </c>
    </row>
    <row r="2" spans="1:8" x14ac:dyDescent="0.35">
      <c r="A2" s="2" t="s">
        <v>157</v>
      </c>
    </row>
    <row r="4" spans="1:8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14</v>
      </c>
      <c r="F4" s="3" t="s">
        <v>158</v>
      </c>
      <c r="G4" s="3" t="s">
        <v>159</v>
      </c>
      <c r="H4" s="3" t="s">
        <v>160</v>
      </c>
    </row>
    <row r="5" spans="1:8" x14ac:dyDescent="0.35">
      <c r="A5" s="4" t="str">
        <f>Dummy_Variables!A5</f>
        <v>STR-1001</v>
      </c>
      <c r="B5" s="12">
        <f>Dummy_Variables!B5</f>
        <v>45658</v>
      </c>
      <c r="C5" s="4" t="str">
        <f>Dummy_Variables!C5</f>
        <v>East</v>
      </c>
      <c r="D5" s="4" t="str">
        <f>Dummy_Variables!D5</f>
        <v>Residential</v>
      </c>
      <c r="E5" s="13">
        <f>Dummy_Variables!P5</f>
        <v>658832.62</v>
      </c>
      <c r="F5" s="13">
        <f>Multiple_Regression!$B$44+Multiple_Regression!$B$45*Dummy_Variables!E5+Multiple_Regression!$B$46*Dummy_Variables!F5+Multiple_Regression!$B$47*Dummy_Variables!G5+Multiple_Regression!$B$48*Dummy_Variables!H5+Multiple_Regression!$B$49*Dummy_Variables!I5+Multiple_Regression!$B$50*Dummy_Variables!J5+Multiple_Regression!$B$51*Dummy_Variables!K5+Multiple_Regression!$B$52*Dummy_Variables!L5+Multiple_Regression!$B$53*Dummy_Variables!M5+Multiple_Regression!$B$54*Dummy_Variables!N5</f>
        <v>698455.51492381084</v>
      </c>
      <c r="G5" s="13">
        <f t="shared" ref="G5:G68" si="0">E5-F5</f>
        <v>-39622.894923810847</v>
      </c>
      <c r="H5" s="13">
        <f t="shared" ref="H5:H68" si="1">ABS(G5)</f>
        <v>39622.894923810847</v>
      </c>
    </row>
    <row r="6" spans="1:8" x14ac:dyDescent="0.35">
      <c r="A6" s="4" t="str">
        <f>Dummy_Variables!A6</f>
        <v>STR-1001</v>
      </c>
      <c r="B6" s="12">
        <f>Dummy_Variables!B6</f>
        <v>45689</v>
      </c>
      <c r="C6" s="4" t="str">
        <f>Dummy_Variables!C6</f>
        <v>East</v>
      </c>
      <c r="D6" s="4" t="str">
        <f>Dummy_Variables!D6</f>
        <v>Residential</v>
      </c>
      <c r="E6" s="13">
        <f>Dummy_Variables!P6</f>
        <v>634436</v>
      </c>
      <c r="F6" s="13">
        <f>Multiple_Regression!$B$44+Multiple_Regression!$B$45*Dummy_Variables!E6+Multiple_Regression!$B$46*Dummy_Variables!F6+Multiple_Regression!$B$47*Dummy_Variables!G6+Multiple_Regression!$B$48*Dummy_Variables!H6+Multiple_Regression!$B$49*Dummy_Variables!I6+Multiple_Regression!$B$50*Dummy_Variables!J6+Multiple_Regression!$B$51*Dummy_Variables!K6+Multiple_Regression!$B$52*Dummy_Variables!L6+Multiple_Regression!$B$53*Dummy_Variables!M6+Multiple_Regression!$B$54*Dummy_Variables!N6</f>
        <v>682376.0276890113</v>
      </c>
      <c r="G6" s="13">
        <f t="shared" si="0"/>
        <v>-47940.027689011302</v>
      </c>
      <c r="H6" s="13">
        <f t="shared" si="1"/>
        <v>47940.027689011302</v>
      </c>
    </row>
    <row r="7" spans="1:8" x14ac:dyDescent="0.35">
      <c r="A7" s="4" t="str">
        <f>Dummy_Variables!A7</f>
        <v>STR-1001</v>
      </c>
      <c r="B7" s="12">
        <f>Dummy_Variables!B7</f>
        <v>45717</v>
      </c>
      <c r="C7" s="4" t="str">
        <f>Dummy_Variables!C7</f>
        <v>East</v>
      </c>
      <c r="D7" s="4" t="str">
        <f>Dummy_Variables!D7</f>
        <v>Residential</v>
      </c>
      <c r="E7" s="13">
        <f>Dummy_Variables!P7</f>
        <v>678722.06</v>
      </c>
      <c r="F7" s="13">
        <f>Multiple_Regression!$B$44+Multiple_Regression!$B$45*Dummy_Variables!E7+Multiple_Regression!$B$46*Dummy_Variables!F7+Multiple_Regression!$B$47*Dummy_Variables!G7+Multiple_Regression!$B$48*Dummy_Variables!H7+Multiple_Regression!$B$49*Dummy_Variables!I7+Multiple_Regression!$B$50*Dummy_Variables!J7+Multiple_Regression!$B$51*Dummy_Variables!K7+Multiple_Regression!$B$52*Dummy_Variables!L7+Multiple_Regression!$B$53*Dummy_Variables!M7+Multiple_Regression!$B$54*Dummy_Variables!N7</f>
        <v>717425.85258049355</v>
      </c>
      <c r="G7" s="13">
        <f t="shared" si="0"/>
        <v>-38703.792580493493</v>
      </c>
      <c r="H7" s="13">
        <f t="shared" si="1"/>
        <v>38703.792580493493</v>
      </c>
    </row>
    <row r="8" spans="1:8" x14ac:dyDescent="0.35">
      <c r="A8" s="4" t="str">
        <f>Dummy_Variables!A8</f>
        <v>STR-1001</v>
      </c>
      <c r="B8" s="12">
        <f>Dummy_Variables!B8</f>
        <v>45748</v>
      </c>
      <c r="C8" s="4" t="str">
        <f>Dummy_Variables!C8</f>
        <v>East</v>
      </c>
      <c r="D8" s="4" t="str">
        <f>Dummy_Variables!D8</f>
        <v>Residential</v>
      </c>
      <c r="E8" s="13">
        <f>Dummy_Variables!P8</f>
        <v>658920.30000000005</v>
      </c>
      <c r="F8" s="13">
        <f>Multiple_Regression!$B$44+Multiple_Regression!$B$45*Dummy_Variables!E8+Multiple_Regression!$B$46*Dummy_Variables!F8+Multiple_Regression!$B$47*Dummy_Variables!G8+Multiple_Regression!$B$48*Dummy_Variables!H8+Multiple_Regression!$B$49*Dummy_Variables!I8+Multiple_Regression!$B$50*Dummy_Variables!J8+Multiple_Regression!$B$51*Dummy_Variables!K8+Multiple_Regression!$B$52*Dummy_Variables!L8+Multiple_Regression!$B$53*Dummy_Variables!M8+Multiple_Regression!$B$54*Dummy_Variables!N8</f>
        <v>744293.9225804836</v>
      </c>
      <c r="G8" s="13">
        <f t="shared" si="0"/>
        <v>-85373.622580483556</v>
      </c>
      <c r="H8" s="13">
        <f t="shared" si="1"/>
        <v>85373.622580483556</v>
      </c>
    </row>
    <row r="9" spans="1:8" x14ac:dyDescent="0.35">
      <c r="A9" s="4" t="str">
        <f>Dummy_Variables!A9</f>
        <v>STR-1002</v>
      </c>
      <c r="B9" s="12">
        <f>Dummy_Variables!B9</f>
        <v>45658</v>
      </c>
      <c r="C9" s="4" t="str">
        <f>Dummy_Variables!C9</f>
        <v>East</v>
      </c>
      <c r="D9" s="4" t="str">
        <f>Dummy_Variables!D9</f>
        <v>High Street</v>
      </c>
      <c r="E9" s="13">
        <f>Dummy_Variables!P9</f>
        <v>741341.44</v>
      </c>
      <c r="F9" s="13">
        <f>Multiple_Regression!$B$44+Multiple_Regression!$B$45*Dummy_Variables!E9+Multiple_Regression!$B$46*Dummy_Variables!F9+Multiple_Regression!$B$47*Dummy_Variables!G9+Multiple_Regression!$B$48*Dummy_Variables!H9+Multiple_Regression!$B$49*Dummy_Variables!I9+Multiple_Regression!$B$50*Dummy_Variables!J9+Multiple_Regression!$B$51*Dummy_Variables!K9+Multiple_Regression!$B$52*Dummy_Variables!L9+Multiple_Regression!$B$53*Dummy_Variables!M9+Multiple_Regression!$B$54*Dummy_Variables!N9</f>
        <v>801199.88830485265</v>
      </c>
      <c r="G9" s="13">
        <f t="shared" si="0"/>
        <v>-59858.448304852704</v>
      </c>
      <c r="H9" s="13">
        <f t="shared" si="1"/>
        <v>59858.448304852704</v>
      </c>
    </row>
    <row r="10" spans="1:8" x14ac:dyDescent="0.35">
      <c r="A10" s="4" t="str">
        <f>Dummy_Variables!A10</f>
        <v>STR-1002</v>
      </c>
      <c r="B10" s="12">
        <f>Dummy_Variables!B10</f>
        <v>45689</v>
      </c>
      <c r="C10" s="4" t="str">
        <f>Dummy_Variables!C10</f>
        <v>East</v>
      </c>
      <c r="D10" s="4" t="str">
        <f>Dummy_Variables!D10</f>
        <v>High Street</v>
      </c>
      <c r="E10" s="13">
        <f>Dummy_Variables!P10</f>
        <v>761835.34</v>
      </c>
      <c r="F10" s="13">
        <f>Multiple_Regression!$B$44+Multiple_Regression!$B$45*Dummy_Variables!E10+Multiple_Regression!$B$46*Dummy_Variables!F10+Multiple_Regression!$B$47*Dummy_Variables!G10+Multiple_Regression!$B$48*Dummy_Variables!H10+Multiple_Regression!$B$49*Dummy_Variables!I10+Multiple_Regression!$B$50*Dummy_Variables!J10+Multiple_Regression!$B$51*Dummy_Variables!K10+Multiple_Regression!$B$52*Dummy_Variables!L10+Multiple_Regression!$B$53*Dummy_Variables!M10+Multiple_Regression!$B$54*Dummy_Variables!N10</f>
        <v>794228.72080968623</v>
      </c>
      <c r="G10" s="13">
        <f t="shared" si="0"/>
        <v>-32393.380809686263</v>
      </c>
      <c r="H10" s="13">
        <f t="shared" si="1"/>
        <v>32393.380809686263</v>
      </c>
    </row>
    <row r="11" spans="1:8" x14ac:dyDescent="0.35">
      <c r="A11" s="4" t="str">
        <f>Dummy_Variables!A11</f>
        <v>STR-1002</v>
      </c>
      <c r="B11" s="12">
        <f>Dummy_Variables!B11</f>
        <v>45717</v>
      </c>
      <c r="C11" s="4" t="str">
        <f>Dummy_Variables!C11</f>
        <v>East</v>
      </c>
      <c r="D11" s="4" t="str">
        <f>Dummy_Variables!D11</f>
        <v>High Street</v>
      </c>
      <c r="E11" s="13">
        <f>Dummy_Variables!P11</f>
        <v>806615.54</v>
      </c>
      <c r="F11" s="13">
        <f>Multiple_Regression!$B$44+Multiple_Regression!$B$45*Dummy_Variables!E11+Multiple_Regression!$B$46*Dummy_Variables!F11+Multiple_Regression!$B$47*Dummy_Variables!G11+Multiple_Regression!$B$48*Dummy_Variables!H11+Multiple_Regression!$B$49*Dummy_Variables!I11+Multiple_Regression!$B$50*Dummy_Variables!J11+Multiple_Regression!$B$51*Dummy_Variables!K11+Multiple_Regression!$B$52*Dummy_Variables!L11+Multiple_Regression!$B$53*Dummy_Variables!M11+Multiple_Regression!$B$54*Dummy_Variables!N11</f>
        <v>820867.95026303316</v>
      </c>
      <c r="G11" s="13">
        <f t="shared" si="0"/>
        <v>-14252.410263033118</v>
      </c>
      <c r="H11" s="13">
        <f t="shared" si="1"/>
        <v>14252.410263033118</v>
      </c>
    </row>
    <row r="12" spans="1:8" x14ac:dyDescent="0.35">
      <c r="A12" s="4" t="str">
        <f>Dummy_Variables!A12</f>
        <v>STR-1002</v>
      </c>
      <c r="B12" s="12">
        <f>Dummy_Variables!B12</f>
        <v>45748</v>
      </c>
      <c r="C12" s="4" t="str">
        <f>Dummy_Variables!C12</f>
        <v>East</v>
      </c>
      <c r="D12" s="4" t="str">
        <f>Dummy_Variables!D12</f>
        <v>High Street</v>
      </c>
      <c r="E12" s="13">
        <f>Dummy_Variables!P12</f>
        <v>850164.26</v>
      </c>
      <c r="F12" s="13">
        <f>Multiple_Regression!$B$44+Multiple_Regression!$B$45*Dummy_Variables!E12+Multiple_Regression!$B$46*Dummy_Variables!F12+Multiple_Regression!$B$47*Dummy_Variables!G12+Multiple_Regression!$B$48*Dummy_Variables!H12+Multiple_Regression!$B$49*Dummy_Variables!I12+Multiple_Regression!$B$50*Dummy_Variables!J12+Multiple_Regression!$B$51*Dummy_Variables!K12+Multiple_Regression!$B$52*Dummy_Variables!L12+Multiple_Regression!$B$53*Dummy_Variables!M12+Multiple_Regression!$B$54*Dummy_Variables!N12</f>
        <v>794587.01453366433</v>
      </c>
      <c r="G12" s="13">
        <f t="shared" si="0"/>
        <v>55577.245466335677</v>
      </c>
      <c r="H12" s="13">
        <f t="shared" si="1"/>
        <v>55577.245466335677</v>
      </c>
    </row>
    <row r="13" spans="1:8" x14ac:dyDescent="0.35">
      <c r="A13" s="4" t="str">
        <f>Dummy_Variables!A13</f>
        <v>STR-1003</v>
      </c>
      <c r="B13" s="12">
        <f>Dummy_Variables!B13</f>
        <v>45658</v>
      </c>
      <c r="C13" s="4" t="str">
        <f>Dummy_Variables!C13</f>
        <v>North</v>
      </c>
      <c r="D13" s="4" t="str">
        <f>Dummy_Variables!D13</f>
        <v>Airport</v>
      </c>
      <c r="E13" s="13">
        <f>Dummy_Variables!P13</f>
        <v>930581.7</v>
      </c>
      <c r="F13" s="13">
        <f>Multiple_Regression!$B$44+Multiple_Regression!$B$45*Dummy_Variables!E13+Multiple_Regression!$B$46*Dummy_Variables!F13+Multiple_Regression!$B$47*Dummy_Variables!G13+Multiple_Regression!$B$48*Dummy_Variables!H13+Multiple_Regression!$B$49*Dummy_Variables!I13+Multiple_Regression!$B$50*Dummy_Variables!J13+Multiple_Regression!$B$51*Dummy_Variables!K13+Multiple_Regression!$B$52*Dummy_Variables!L13+Multiple_Regression!$B$53*Dummy_Variables!M13+Multiple_Regression!$B$54*Dummy_Variables!N13</f>
        <v>867211.51394701586</v>
      </c>
      <c r="G13" s="13">
        <f t="shared" si="0"/>
        <v>63370.186052984092</v>
      </c>
      <c r="H13" s="13">
        <f t="shared" si="1"/>
        <v>63370.186052984092</v>
      </c>
    </row>
    <row r="14" spans="1:8" x14ac:dyDescent="0.35">
      <c r="A14" s="4" t="str">
        <f>Dummy_Variables!A14</f>
        <v>STR-1003</v>
      </c>
      <c r="B14" s="12">
        <f>Dummy_Variables!B14</f>
        <v>45689</v>
      </c>
      <c r="C14" s="4" t="str">
        <f>Dummy_Variables!C14</f>
        <v>North</v>
      </c>
      <c r="D14" s="4" t="str">
        <f>Dummy_Variables!D14</f>
        <v>Airport</v>
      </c>
      <c r="E14" s="13">
        <f>Dummy_Variables!P14</f>
        <v>779010.94</v>
      </c>
      <c r="F14" s="13">
        <f>Multiple_Regression!$B$44+Multiple_Regression!$B$45*Dummy_Variables!E14+Multiple_Regression!$B$46*Dummy_Variables!F14+Multiple_Regression!$B$47*Dummy_Variables!G14+Multiple_Regression!$B$48*Dummy_Variables!H14+Multiple_Regression!$B$49*Dummy_Variables!I14+Multiple_Regression!$B$50*Dummy_Variables!J14+Multiple_Regression!$B$51*Dummy_Variables!K14+Multiple_Regression!$B$52*Dummy_Variables!L14+Multiple_Regression!$B$53*Dummy_Variables!M14+Multiple_Regression!$B$54*Dummy_Variables!N14</f>
        <v>810857.73297598341</v>
      </c>
      <c r="G14" s="13">
        <f t="shared" si="0"/>
        <v>-31846.792975983466</v>
      </c>
      <c r="H14" s="13">
        <f t="shared" si="1"/>
        <v>31846.792975983466</v>
      </c>
    </row>
    <row r="15" spans="1:8" x14ac:dyDescent="0.35">
      <c r="A15" s="4" t="str">
        <f>Dummy_Variables!A15</f>
        <v>STR-1003</v>
      </c>
      <c r="B15" s="12">
        <f>Dummy_Variables!B15</f>
        <v>45717</v>
      </c>
      <c r="C15" s="4" t="str">
        <f>Dummy_Variables!C15</f>
        <v>North</v>
      </c>
      <c r="D15" s="4" t="str">
        <f>Dummy_Variables!D15</f>
        <v>Airport</v>
      </c>
      <c r="E15" s="13">
        <f>Dummy_Variables!P15</f>
        <v>723060.76</v>
      </c>
      <c r="F15" s="13">
        <f>Multiple_Regression!$B$44+Multiple_Regression!$B$45*Dummy_Variables!E15+Multiple_Regression!$B$46*Dummy_Variables!F15+Multiple_Regression!$B$47*Dummy_Variables!G15+Multiple_Regression!$B$48*Dummy_Variables!H15+Multiple_Regression!$B$49*Dummy_Variables!I15+Multiple_Regression!$B$50*Dummy_Variables!J15+Multiple_Regression!$B$51*Dummy_Variables!K15+Multiple_Regression!$B$52*Dummy_Variables!L15+Multiple_Regression!$B$53*Dummy_Variables!M15+Multiple_Regression!$B$54*Dummy_Variables!N15</f>
        <v>752125.03879971674</v>
      </c>
      <c r="G15" s="13">
        <f t="shared" si="0"/>
        <v>-29064.278799716732</v>
      </c>
      <c r="H15" s="13">
        <f t="shared" si="1"/>
        <v>29064.278799716732</v>
      </c>
    </row>
    <row r="16" spans="1:8" x14ac:dyDescent="0.35">
      <c r="A16" s="4" t="str">
        <f>Dummy_Variables!A16</f>
        <v>STR-1003</v>
      </c>
      <c r="B16" s="12">
        <f>Dummy_Variables!B16</f>
        <v>45748</v>
      </c>
      <c r="C16" s="4" t="str">
        <f>Dummy_Variables!C16</f>
        <v>North</v>
      </c>
      <c r="D16" s="4" t="str">
        <f>Dummy_Variables!D16</f>
        <v>Airport</v>
      </c>
      <c r="E16" s="13">
        <f>Dummy_Variables!P16</f>
        <v>910791.94</v>
      </c>
      <c r="F16" s="13">
        <f>Multiple_Regression!$B$44+Multiple_Regression!$B$45*Dummy_Variables!E16+Multiple_Regression!$B$46*Dummy_Variables!F16+Multiple_Regression!$B$47*Dummy_Variables!G16+Multiple_Regression!$B$48*Dummy_Variables!H16+Multiple_Regression!$B$49*Dummy_Variables!I16+Multiple_Regression!$B$50*Dummy_Variables!J16+Multiple_Regression!$B$51*Dummy_Variables!K16+Multiple_Regression!$B$52*Dummy_Variables!L16+Multiple_Regression!$B$53*Dummy_Variables!M16+Multiple_Regression!$B$54*Dummy_Variables!N16</f>
        <v>861740.38674430724</v>
      </c>
      <c r="G16" s="13">
        <f t="shared" si="0"/>
        <v>49051.553255692706</v>
      </c>
      <c r="H16" s="13">
        <f t="shared" si="1"/>
        <v>49051.553255692706</v>
      </c>
    </row>
    <row r="17" spans="1:8" x14ac:dyDescent="0.35">
      <c r="A17" s="4" t="str">
        <f>Dummy_Variables!A17</f>
        <v>STR-1004</v>
      </c>
      <c r="B17" s="12">
        <f>Dummy_Variables!B17</f>
        <v>45658</v>
      </c>
      <c r="C17" s="4" t="str">
        <f>Dummy_Variables!C17</f>
        <v>East</v>
      </c>
      <c r="D17" s="4" t="str">
        <f>Dummy_Variables!D17</f>
        <v>Residential</v>
      </c>
      <c r="E17" s="13">
        <f>Dummy_Variables!P17</f>
        <v>922168.6</v>
      </c>
      <c r="F17" s="13">
        <f>Multiple_Regression!$B$44+Multiple_Regression!$B$45*Dummy_Variables!E17+Multiple_Regression!$B$46*Dummy_Variables!F17+Multiple_Regression!$B$47*Dummy_Variables!G17+Multiple_Regression!$B$48*Dummy_Variables!H17+Multiple_Regression!$B$49*Dummy_Variables!I17+Multiple_Regression!$B$50*Dummy_Variables!J17+Multiple_Regression!$B$51*Dummy_Variables!K17+Multiple_Regression!$B$52*Dummy_Variables!L17+Multiple_Regression!$B$53*Dummy_Variables!M17+Multiple_Regression!$B$54*Dummy_Variables!N17</f>
        <v>883630.42864433257</v>
      </c>
      <c r="G17" s="13">
        <f t="shared" si="0"/>
        <v>38538.171355667408</v>
      </c>
      <c r="H17" s="13">
        <f t="shared" si="1"/>
        <v>38538.171355667408</v>
      </c>
    </row>
    <row r="18" spans="1:8" x14ac:dyDescent="0.35">
      <c r="A18" s="4" t="str">
        <f>Dummy_Variables!A18</f>
        <v>STR-1004</v>
      </c>
      <c r="B18" s="12">
        <f>Dummy_Variables!B18</f>
        <v>45689</v>
      </c>
      <c r="C18" s="4" t="str">
        <f>Dummy_Variables!C18</f>
        <v>East</v>
      </c>
      <c r="D18" s="4" t="str">
        <f>Dummy_Variables!D18</f>
        <v>Residential</v>
      </c>
      <c r="E18" s="13">
        <f>Dummy_Variables!P18</f>
        <v>726606.28</v>
      </c>
      <c r="F18" s="13">
        <f>Multiple_Regression!$B$44+Multiple_Regression!$B$45*Dummy_Variables!E18+Multiple_Regression!$B$46*Dummy_Variables!F18+Multiple_Regression!$B$47*Dummy_Variables!G18+Multiple_Regression!$B$48*Dummy_Variables!H18+Multiple_Regression!$B$49*Dummy_Variables!I18+Multiple_Regression!$B$50*Dummy_Variables!J18+Multiple_Regression!$B$51*Dummy_Variables!K18+Multiple_Regression!$B$52*Dummy_Variables!L18+Multiple_Regression!$B$53*Dummy_Variables!M18+Multiple_Regression!$B$54*Dummy_Variables!N18</f>
        <v>780298.88428175985</v>
      </c>
      <c r="G18" s="13">
        <f t="shared" si="0"/>
        <v>-53692.604281759821</v>
      </c>
      <c r="H18" s="13">
        <f t="shared" si="1"/>
        <v>53692.604281759821</v>
      </c>
    </row>
    <row r="19" spans="1:8" x14ac:dyDescent="0.35">
      <c r="A19" s="4" t="str">
        <f>Dummy_Variables!A19</f>
        <v>STR-1004</v>
      </c>
      <c r="B19" s="12">
        <f>Dummy_Variables!B19</f>
        <v>45717</v>
      </c>
      <c r="C19" s="4" t="str">
        <f>Dummy_Variables!C19</f>
        <v>East</v>
      </c>
      <c r="D19" s="4" t="str">
        <f>Dummy_Variables!D19</f>
        <v>Residential</v>
      </c>
      <c r="E19" s="13">
        <f>Dummy_Variables!P19</f>
        <v>746501.09</v>
      </c>
      <c r="F19" s="13">
        <f>Multiple_Regression!$B$44+Multiple_Regression!$B$45*Dummy_Variables!E19+Multiple_Regression!$B$46*Dummy_Variables!F19+Multiple_Regression!$B$47*Dummy_Variables!G19+Multiple_Regression!$B$48*Dummy_Variables!H19+Multiple_Regression!$B$49*Dummy_Variables!I19+Multiple_Regression!$B$50*Dummy_Variables!J19+Multiple_Regression!$B$51*Dummy_Variables!K19+Multiple_Regression!$B$52*Dummy_Variables!L19+Multiple_Regression!$B$53*Dummy_Variables!M19+Multiple_Regression!$B$54*Dummy_Variables!N19</f>
        <v>756699.99980875594</v>
      </c>
      <c r="G19" s="13">
        <f t="shared" si="0"/>
        <v>-10198.909808755969</v>
      </c>
      <c r="H19" s="13">
        <f t="shared" si="1"/>
        <v>10198.909808755969</v>
      </c>
    </row>
    <row r="20" spans="1:8" x14ac:dyDescent="0.35">
      <c r="A20" s="4" t="str">
        <f>Dummy_Variables!A20</f>
        <v>STR-1004</v>
      </c>
      <c r="B20" s="12">
        <f>Dummy_Variables!B20</f>
        <v>45748</v>
      </c>
      <c r="C20" s="4" t="str">
        <f>Dummy_Variables!C20</f>
        <v>East</v>
      </c>
      <c r="D20" s="4" t="str">
        <f>Dummy_Variables!D20</f>
        <v>Residential</v>
      </c>
      <c r="E20" s="13">
        <f>Dummy_Variables!P20</f>
        <v>834017.02</v>
      </c>
      <c r="F20" s="13">
        <f>Multiple_Regression!$B$44+Multiple_Regression!$B$45*Dummy_Variables!E20+Multiple_Regression!$B$46*Dummy_Variables!F20+Multiple_Regression!$B$47*Dummy_Variables!G20+Multiple_Regression!$B$48*Dummy_Variables!H20+Multiple_Regression!$B$49*Dummy_Variables!I20+Multiple_Regression!$B$50*Dummy_Variables!J20+Multiple_Regression!$B$51*Dummy_Variables!K20+Multiple_Regression!$B$52*Dummy_Variables!L20+Multiple_Regression!$B$53*Dummy_Variables!M20+Multiple_Regression!$B$54*Dummy_Variables!N20</f>
        <v>816626.85241582547</v>
      </c>
      <c r="G20" s="13">
        <f t="shared" si="0"/>
        <v>17390.167584174545</v>
      </c>
      <c r="H20" s="13">
        <f t="shared" si="1"/>
        <v>17390.167584174545</v>
      </c>
    </row>
    <row r="21" spans="1:8" x14ac:dyDescent="0.35">
      <c r="A21" s="4" t="str">
        <f>Dummy_Variables!A21</f>
        <v>STR-1005</v>
      </c>
      <c r="B21" s="12">
        <f>Dummy_Variables!B21</f>
        <v>45658</v>
      </c>
      <c r="C21" s="4" t="str">
        <f>Dummy_Variables!C21</f>
        <v>South</v>
      </c>
      <c r="D21" s="4" t="str">
        <f>Dummy_Variables!D21</f>
        <v>Residential</v>
      </c>
      <c r="E21" s="13">
        <f>Dummy_Variables!P21</f>
        <v>666152.52</v>
      </c>
      <c r="F21" s="13">
        <f>Multiple_Regression!$B$44+Multiple_Regression!$B$45*Dummy_Variables!E21+Multiple_Regression!$B$46*Dummy_Variables!F21+Multiple_Regression!$B$47*Dummy_Variables!G21+Multiple_Regression!$B$48*Dummy_Variables!H21+Multiple_Regression!$B$49*Dummy_Variables!I21+Multiple_Regression!$B$50*Dummy_Variables!J21+Multiple_Regression!$B$51*Dummy_Variables!K21+Multiple_Regression!$B$52*Dummy_Variables!L21+Multiple_Regression!$B$53*Dummy_Variables!M21+Multiple_Regression!$B$54*Dummy_Variables!N21</f>
        <v>679989.12025529321</v>
      </c>
      <c r="G21" s="13">
        <f t="shared" si="0"/>
        <v>-13836.60025529319</v>
      </c>
      <c r="H21" s="13">
        <f t="shared" si="1"/>
        <v>13836.60025529319</v>
      </c>
    </row>
    <row r="22" spans="1:8" x14ac:dyDescent="0.35">
      <c r="A22" s="4" t="str">
        <f>Dummy_Variables!A22</f>
        <v>STR-1005</v>
      </c>
      <c r="B22" s="12">
        <f>Dummy_Variables!B22</f>
        <v>45689</v>
      </c>
      <c r="C22" s="4" t="str">
        <f>Dummy_Variables!C22</f>
        <v>South</v>
      </c>
      <c r="D22" s="4" t="str">
        <f>Dummy_Variables!D22</f>
        <v>Residential</v>
      </c>
      <c r="E22" s="13">
        <f>Dummy_Variables!P22</f>
        <v>573155.18999999994</v>
      </c>
      <c r="F22" s="13">
        <f>Multiple_Regression!$B$44+Multiple_Regression!$B$45*Dummy_Variables!E22+Multiple_Regression!$B$46*Dummy_Variables!F22+Multiple_Regression!$B$47*Dummy_Variables!G22+Multiple_Regression!$B$48*Dummy_Variables!H22+Multiple_Regression!$B$49*Dummy_Variables!I22+Multiple_Regression!$B$50*Dummy_Variables!J22+Multiple_Regression!$B$51*Dummy_Variables!K22+Multiple_Regression!$B$52*Dummy_Variables!L22+Multiple_Regression!$B$53*Dummy_Variables!M22+Multiple_Regression!$B$54*Dummy_Variables!N22</f>
        <v>582720.18508683611</v>
      </c>
      <c r="G22" s="13">
        <f t="shared" si="0"/>
        <v>-9564.995086836163</v>
      </c>
      <c r="H22" s="13">
        <f t="shared" si="1"/>
        <v>9564.995086836163</v>
      </c>
    </row>
    <row r="23" spans="1:8" x14ac:dyDescent="0.35">
      <c r="A23" s="4" t="str">
        <f>Dummy_Variables!A23</f>
        <v>STR-1005</v>
      </c>
      <c r="B23" s="12">
        <f>Dummy_Variables!B23</f>
        <v>45717</v>
      </c>
      <c r="C23" s="4" t="str">
        <f>Dummy_Variables!C23</f>
        <v>South</v>
      </c>
      <c r="D23" s="4" t="str">
        <f>Dummy_Variables!D23</f>
        <v>Residential</v>
      </c>
      <c r="E23" s="13">
        <f>Dummy_Variables!P23</f>
        <v>666573.19999999995</v>
      </c>
      <c r="F23" s="13">
        <f>Multiple_Regression!$B$44+Multiple_Regression!$B$45*Dummy_Variables!E23+Multiple_Regression!$B$46*Dummy_Variables!F23+Multiple_Regression!$B$47*Dummy_Variables!G23+Multiple_Regression!$B$48*Dummy_Variables!H23+Multiple_Regression!$B$49*Dummy_Variables!I23+Multiple_Regression!$B$50*Dummy_Variables!J23+Multiple_Regression!$B$51*Dummy_Variables!K23+Multiple_Regression!$B$52*Dummy_Variables!L23+Multiple_Regression!$B$53*Dummy_Variables!M23+Multiple_Regression!$B$54*Dummy_Variables!N23</f>
        <v>691147.35882653878</v>
      </c>
      <c r="G23" s="13">
        <f t="shared" si="0"/>
        <v>-24574.158826538827</v>
      </c>
      <c r="H23" s="13">
        <f t="shared" si="1"/>
        <v>24574.158826538827</v>
      </c>
    </row>
    <row r="24" spans="1:8" x14ac:dyDescent="0.35">
      <c r="A24" s="4" t="str">
        <f>Dummy_Variables!A24</f>
        <v>STR-1005</v>
      </c>
      <c r="B24" s="12">
        <f>Dummy_Variables!B24</f>
        <v>45748</v>
      </c>
      <c r="C24" s="4" t="str">
        <f>Dummy_Variables!C24</f>
        <v>South</v>
      </c>
      <c r="D24" s="4" t="str">
        <f>Dummy_Variables!D24</f>
        <v>Residential</v>
      </c>
      <c r="E24" s="13">
        <f>Dummy_Variables!P24</f>
        <v>591619.94999999995</v>
      </c>
      <c r="F24" s="13">
        <f>Multiple_Regression!$B$44+Multiple_Regression!$B$45*Dummy_Variables!E24+Multiple_Regression!$B$46*Dummy_Variables!F24+Multiple_Regression!$B$47*Dummy_Variables!G24+Multiple_Regression!$B$48*Dummy_Variables!H24+Multiple_Regression!$B$49*Dummy_Variables!I24+Multiple_Regression!$B$50*Dummy_Variables!J24+Multiple_Regression!$B$51*Dummy_Variables!K24+Multiple_Regression!$B$52*Dummy_Variables!L24+Multiple_Regression!$B$53*Dummy_Variables!M24+Multiple_Regression!$B$54*Dummy_Variables!N24</f>
        <v>597222.73833536869</v>
      </c>
      <c r="G24" s="13">
        <f t="shared" si="0"/>
        <v>-5602.7883353687357</v>
      </c>
      <c r="H24" s="13">
        <f t="shared" si="1"/>
        <v>5602.7883353687357</v>
      </c>
    </row>
    <row r="25" spans="1:8" x14ac:dyDescent="0.35">
      <c r="A25" s="4" t="str">
        <f>Dummy_Variables!A25</f>
        <v>STR-1006</v>
      </c>
      <c r="B25" s="12">
        <f>Dummy_Variables!B25</f>
        <v>45658</v>
      </c>
      <c r="C25" s="4" t="str">
        <f>Dummy_Variables!C25</f>
        <v>North</v>
      </c>
      <c r="D25" s="4" t="str">
        <f>Dummy_Variables!D25</f>
        <v>Residential</v>
      </c>
      <c r="E25" s="13">
        <f>Dummy_Variables!P25</f>
        <v>415721.82</v>
      </c>
      <c r="F25" s="13">
        <f>Multiple_Regression!$B$44+Multiple_Regression!$B$45*Dummy_Variables!E25+Multiple_Regression!$B$46*Dummy_Variables!F25+Multiple_Regression!$B$47*Dummy_Variables!G25+Multiple_Regression!$B$48*Dummy_Variables!H25+Multiple_Regression!$B$49*Dummy_Variables!I25+Multiple_Regression!$B$50*Dummy_Variables!J25+Multiple_Regression!$B$51*Dummy_Variables!K25+Multiple_Regression!$B$52*Dummy_Variables!L25+Multiple_Regression!$B$53*Dummy_Variables!M25+Multiple_Regression!$B$54*Dummy_Variables!N25</f>
        <v>493286.45143911964</v>
      </c>
      <c r="G25" s="13">
        <f t="shared" si="0"/>
        <v>-77564.631439119636</v>
      </c>
      <c r="H25" s="13">
        <f t="shared" si="1"/>
        <v>77564.631439119636</v>
      </c>
    </row>
    <row r="26" spans="1:8" x14ac:dyDescent="0.35">
      <c r="A26" s="4" t="str">
        <f>Dummy_Variables!A26</f>
        <v>STR-1006</v>
      </c>
      <c r="B26" s="12">
        <f>Dummy_Variables!B26</f>
        <v>45689</v>
      </c>
      <c r="C26" s="4" t="str">
        <f>Dummy_Variables!C26</f>
        <v>North</v>
      </c>
      <c r="D26" s="4" t="str">
        <f>Dummy_Variables!D26</f>
        <v>Residential</v>
      </c>
      <c r="E26" s="13">
        <f>Dummy_Variables!P26</f>
        <v>491905.13</v>
      </c>
      <c r="F26" s="13">
        <f>Multiple_Regression!$B$44+Multiple_Regression!$B$45*Dummy_Variables!E26+Multiple_Regression!$B$46*Dummy_Variables!F26+Multiple_Regression!$B$47*Dummy_Variables!G26+Multiple_Regression!$B$48*Dummy_Variables!H26+Multiple_Regression!$B$49*Dummy_Variables!I26+Multiple_Regression!$B$50*Dummy_Variables!J26+Multiple_Regression!$B$51*Dummy_Variables!K26+Multiple_Regression!$B$52*Dummy_Variables!L26+Multiple_Regression!$B$53*Dummy_Variables!M26+Multiple_Regression!$B$54*Dummy_Variables!N26</f>
        <v>508625.9147328157</v>
      </c>
      <c r="G26" s="13">
        <f t="shared" si="0"/>
        <v>-16720.784732815693</v>
      </c>
      <c r="H26" s="13">
        <f t="shared" si="1"/>
        <v>16720.784732815693</v>
      </c>
    </row>
    <row r="27" spans="1:8" x14ac:dyDescent="0.35">
      <c r="A27" s="4" t="str">
        <f>Dummy_Variables!A27</f>
        <v>STR-1006</v>
      </c>
      <c r="B27" s="12">
        <f>Dummy_Variables!B27</f>
        <v>45717</v>
      </c>
      <c r="C27" s="4" t="str">
        <f>Dummy_Variables!C27</f>
        <v>North</v>
      </c>
      <c r="D27" s="4" t="str">
        <f>Dummy_Variables!D27</f>
        <v>Residential</v>
      </c>
      <c r="E27" s="13">
        <f>Dummy_Variables!P27</f>
        <v>555929.4</v>
      </c>
      <c r="F27" s="13">
        <f>Multiple_Regression!$B$44+Multiple_Regression!$B$45*Dummy_Variables!E27+Multiple_Regression!$B$46*Dummy_Variables!F27+Multiple_Regression!$B$47*Dummy_Variables!G27+Multiple_Regression!$B$48*Dummy_Variables!H27+Multiple_Regression!$B$49*Dummy_Variables!I27+Multiple_Regression!$B$50*Dummy_Variables!J27+Multiple_Regression!$B$51*Dummy_Variables!K27+Multiple_Regression!$B$52*Dummy_Variables!L27+Multiple_Regression!$B$53*Dummy_Variables!M27+Multiple_Regression!$B$54*Dummy_Variables!N27</f>
        <v>544211.53620979062</v>
      </c>
      <c r="G27" s="13">
        <f t="shared" si="0"/>
        <v>11717.863790209405</v>
      </c>
      <c r="H27" s="13">
        <f t="shared" si="1"/>
        <v>11717.863790209405</v>
      </c>
    </row>
    <row r="28" spans="1:8" x14ac:dyDescent="0.35">
      <c r="A28" s="4" t="str">
        <f>Dummy_Variables!A28</f>
        <v>STR-1006</v>
      </c>
      <c r="B28" s="12">
        <f>Dummy_Variables!B28</f>
        <v>45748</v>
      </c>
      <c r="C28" s="4" t="str">
        <f>Dummy_Variables!C28</f>
        <v>North</v>
      </c>
      <c r="D28" s="4" t="str">
        <f>Dummy_Variables!D28</f>
        <v>Residential</v>
      </c>
      <c r="E28" s="13">
        <f>Dummy_Variables!P28</f>
        <v>565810.99</v>
      </c>
      <c r="F28" s="13">
        <f>Multiple_Regression!$B$44+Multiple_Regression!$B$45*Dummy_Variables!E28+Multiple_Regression!$B$46*Dummy_Variables!F28+Multiple_Regression!$B$47*Dummy_Variables!G28+Multiple_Regression!$B$48*Dummy_Variables!H28+Multiple_Regression!$B$49*Dummy_Variables!I28+Multiple_Regression!$B$50*Dummy_Variables!J28+Multiple_Regression!$B$51*Dummy_Variables!K28+Multiple_Regression!$B$52*Dummy_Variables!L28+Multiple_Regression!$B$53*Dummy_Variables!M28+Multiple_Regression!$B$54*Dummy_Variables!N28</f>
        <v>560847.84921870823</v>
      </c>
      <c r="G28" s="13">
        <f t="shared" si="0"/>
        <v>4963.1407812917605</v>
      </c>
      <c r="H28" s="13">
        <f t="shared" si="1"/>
        <v>4963.1407812917605</v>
      </c>
    </row>
    <row r="29" spans="1:8" x14ac:dyDescent="0.35">
      <c r="A29" s="4" t="str">
        <f>Dummy_Variables!A29</f>
        <v>STR-1007</v>
      </c>
      <c r="B29" s="12">
        <f>Dummy_Variables!B29</f>
        <v>45658</v>
      </c>
      <c r="C29" s="4" t="str">
        <f>Dummy_Variables!C29</f>
        <v>West</v>
      </c>
      <c r="D29" s="4" t="str">
        <f>Dummy_Variables!D29</f>
        <v>Mall</v>
      </c>
      <c r="E29" s="13">
        <f>Dummy_Variables!P29</f>
        <v>811771.14</v>
      </c>
      <c r="F29" s="13">
        <f>Multiple_Regression!$B$44+Multiple_Regression!$B$45*Dummy_Variables!E29+Multiple_Regression!$B$46*Dummy_Variables!F29+Multiple_Regression!$B$47*Dummy_Variables!G29+Multiple_Regression!$B$48*Dummy_Variables!H29+Multiple_Regression!$B$49*Dummy_Variables!I29+Multiple_Regression!$B$50*Dummy_Variables!J29+Multiple_Regression!$B$51*Dummy_Variables!K29+Multiple_Regression!$B$52*Dummy_Variables!L29+Multiple_Regression!$B$53*Dummy_Variables!M29+Multiple_Regression!$B$54*Dummy_Variables!N29</f>
        <v>835462.44243246771</v>
      </c>
      <c r="G29" s="13">
        <f t="shared" si="0"/>
        <v>-23691.302432467695</v>
      </c>
      <c r="H29" s="13">
        <f t="shared" si="1"/>
        <v>23691.302432467695</v>
      </c>
    </row>
    <row r="30" spans="1:8" x14ac:dyDescent="0.35">
      <c r="A30" s="4" t="str">
        <f>Dummy_Variables!A30</f>
        <v>STR-1007</v>
      </c>
      <c r="B30" s="12">
        <f>Dummy_Variables!B30</f>
        <v>45689</v>
      </c>
      <c r="C30" s="4" t="str">
        <f>Dummy_Variables!C30</f>
        <v>West</v>
      </c>
      <c r="D30" s="4" t="str">
        <f>Dummy_Variables!D30</f>
        <v>Mall</v>
      </c>
      <c r="E30" s="13">
        <f>Dummy_Variables!P30</f>
        <v>800451.94</v>
      </c>
      <c r="F30" s="13">
        <f>Multiple_Regression!$B$44+Multiple_Regression!$B$45*Dummy_Variables!E30+Multiple_Regression!$B$46*Dummy_Variables!F30+Multiple_Regression!$B$47*Dummy_Variables!G30+Multiple_Regression!$B$48*Dummy_Variables!H30+Multiple_Regression!$B$49*Dummy_Variables!I30+Multiple_Regression!$B$50*Dummy_Variables!J30+Multiple_Regression!$B$51*Dummy_Variables!K30+Multiple_Regression!$B$52*Dummy_Variables!L30+Multiple_Regression!$B$53*Dummy_Variables!M30+Multiple_Regression!$B$54*Dummy_Variables!N30</f>
        <v>895528.44925972342</v>
      </c>
      <c r="G30" s="13">
        <f t="shared" si="0"/>
        <v>-95076.509259723476</v>
      </c>
      <c r="H30" s="13">
        <f t="shared" si="1"/>
        <v>95076.509259723476</v>
      </c>
    </row>
    <row r="31" spans="1:8" x14ac:dyDescent="0.35">
      <c r="A31" s="4" t="str">
        <f>Dummy_Variables!A31</f>
        <v>STR-1007</v>
      </c>
      <c r="B31" s="12">
        <f>Dummy_Variables!B31</f>
        <v>45717</v>
      </c>
      <c r="C31" s="4" t="str">
        <f>Dummy_Variables!C31</f>
        <v>West</v>
      </c>
      <c r="D31" s="4" t="str">
        <f>Dummy_Variables!D31</f>
        <v>Mall</v>
      </c>
      <c r="E31" s="13">
        <f>Dummy_Variables!P31</f>
        <v>783672.82</v>
      </c>
      <c r="F31" s="13">
        <f>Multiple_Regression!$B$44+Multiple_Regression!$B$45*Dummy_Variables!E31+Multiple_Regression!$B$46*Dummy_Variables!F31+Multiple_Regression!$B$47*Dummy_Variables!G31+Multiple_Regression!$B$48*Dummy_Variables!H31+Multiple_Regression!$B$49*Dummy_Variables!I31+Multiple_Regression!$B$50*Dummy_Variables!J31+Multiple_Regression!$B$51*Dummy_Variables!K31+Multiple_Regression!$B$52*Dummy_Variables!L31+Multiple_Regression!$B$53*Dummy_Variables!M31+Multiple_Regression!$B$54*Dummy_Variables!N31</f>
        <v>790900.42159965064</v>
      </c>
      <c r="G31" s="13">
        <f t="shared" si="0"/>
        <v>-7227.6015996506903</v>
      </c>
      <c r="H31" s="13">
        <f t="shared" si="1"/>
        <v>7227.6015996506903</v>
      </c>
    </row>
    <row r="32" spans="1:8" x14ac:dyDescent="0.35">
      <c r="A32" s="4" t="str">
        <f>Dummy_Variables!A32</f>
        <v>STR-1007</v>
      </c>
      <c r="B32" s="12">
        <f>Dummy_Variables!B32</f>
        <v>45748</v>
      </c>
      <c r="C32" s="4" t="str">
        <f>Dummy_Variables!C32</f>
        <v>West</v>
      </c>
      <c r="D32" s="4" t="str">
        <f>Dummy_Variables!D32</f>
        <v>Mall</v>
      </c>
      <c r="E32" s="13">
        <f>Dummy_Variables!P32</f>
        <v>701641.97</v>
      </c>
      <c r="F32" s="13">
        <f>Multiple_Regression!$B$44+Multiple_Regression!$B$45*Dummy_Variables!E32+Multiple_Regression!$B$46*Dummy_Variables!F32+Multiple_Regression!$B$47*Dummy_Variables!G32+Multiple_Regression!$B$48*Dummy_Variables!H32+Multiple_Regression!$B$49*Dummy_Variables!I32+Multiple_Regression!$B$50*Dummy_Variables!J32+Multiple_Regression!$B$51*Dummy_Variables!K32+Multiple_Regression!$B$52*Dummy_Variables!L32+Multiple_Regression!$B$53*Dummy_Variables!M32+Multiple_Regression!$B$54*Dummy_Variables!N32</f>
        <v>658498.59169248282</v>
      </c>
      <c r="G32" s="13">
        <f t="shared" si="0"/>
        <v>43143.378307517152</v>
      </c>
      <c r="H32" s="13">
        <f t="shared" si="1"/>
        <v>43143.378307517152</v>
      </c>
    </row>
    <row r="33" spans="1:8" x14ac:dyDescent="0.35">
      <c r="A33" s="4" t="str">
        <f>Dummy_Variables!A33</f>
        <v>STR-1008</v>
      </c>
      <c r="B33" s="12">
        <f>Dummy_Variables!B33</f>
        <v>45658</v>
      </c>
      <c r="C33" s="4" t="str">
        <f>Dummy_Variables!C33</f>
        <v>East</v>
      </c>
      <c r="D33" s="4" t="str">
        <f>Dummy_Variables!D33</f>
        <v>Residential</v>
      </c>
      <c r="E33" s="13">
        <f>Dummy_Variables!P33</f>
        <v>511844.41</v>
      </c>
      <c r="F33" s="13">
        <f>Multiple_Regression!$B$44+Multiple_Regression!$B$45*Dummy_Variables!E33+Multiple_Regression!$B$46*Dummy_Variables!F33+Multiple_Regression!$B$47*Dummy_Variables!G33+Multiple_Regression!$B$48*Dummy_Variables!H33+Multiple_Regression!$B$49*Dummy_Variables!I33+Multiple_Regression!$B$50*Dummy_Variables!J33+Multiple_Regression!$B$51*Dummy_Variables!K33+Multiple_Regression!$B$52*Dummy_Variables!L33+Multiple_Regression!$B$53*Dummy_Variables!M33+Multiple_Regression!$B$54*Dummy_Variables!N33</f>
        <v>587316.02389254677</v>
      </c>
      <c r="G33" s="13">
        <f t="shared" si="0"/>
        <v>-75471.613892546797</v>
      </c>
      <c r="H33" s="13">
        <f t="shared" si="1"/>
        <v>75471.613892546797</v>
      </c>
    </row>
    <row r="34" spans="1:8" x14ac:dyDescent="0.35">
      <c r="A34" s="4" t="str">
        <f>Dummy_Variables!A34</f>
        <v>STR-1008</v>
      </c>
      <c r="B34" s="12">
        <f>Dummy_Variables!B34</f>
        <v>45689</v>
      </c>
      <c r="C34" s="4" t="str">
        <f>Dummy_Variables!C34</f>
        <v>East</v>
      </c>
      <c r="D34" s="4" t="str">
        <f>Dummy_Variables!D34</f>
        <v>Residential</v>
      </c>
      <c r="E34" s="13">
        <f>Dummy_Variables!P34</f>
        <v>537383.79</v>
      </c>
      <c r="F34" s="13">
        <f>Multiple_Regression!$B$44+Multiple_Regression!$B$45*Dummy_Variables!E34+Multiple_Regression!$B$46*Dummy_Variables!F34+Multiple_Regression!$B$47*Dummy_Variables!G34+Multiple_Regression!$B$48*Dummy_Variables!H34+Multiple_Regression!$B$49*Dummy_Variables!I34+Multiple_Regression!$B$50*Dummy_Variables!J34+Multiple_Regression!$B$51*Dummy_Variables!K34+Multiple_Regression!$B$52*Dummy_Variables!L34+Multiple_Regression!$B$53*Dummy_Variables!M34+Multiple_Regression!$B$54*Dummy_Variables!N34</f>
        <v>524461.64986333624</v>
      </c>
      <c r="G34" s="13">
        <f t="shared" si="0"/>
        <v>12922.140136663802</v>
      </c>
      <c r="H34" s="13">
        <f t="shared" si="1"/>
        <v>12922.140136663802</v>
      </c>
    </row>
    <row r="35" spans="1:8" x14ac:dyDescent="0.35">
      <c r="A35" s="4" t="str">
        <f>Dummy_Variables!A35</f>
        <v>STR-1008</v>
      </c>
      <c r="B35" s="12">
        <f>Dummy_Variables!B35</f>
        <v>45717</v>
      </c>
      <c r="C35" s="4" t="str">
        <f>Dummy_Variables!C35</f>
        <v>East</v>
      </c>
      <c r="D35" s="4" t="str">
        <f>Dummy_Variables!D35</f>
        <v>Residential</v>
      </c>
      <c r="E35" s="13">
        <f>Dummy_Variables!P35</f>
        <v>500173.02</v>
      </c>
      <c r="F35" s="13">
        <f>Multiple_Regression!$B$44+Multiple_Regression!$B$45*Dummy_Variables!E35+Multiple_Regression!$B$46*Dummy_Variables!F35+Multiple_Regression!$B$47*Dummy_Variables!G35+Multiple_Regression!$B$48*Dummy_Variables!H35+Multiple_Regression!$B$49*Dummy_Variables!I35+Multiple_Regression!$B$50*Dummy_Variables!J35+Multiple_Regression!$B$51*Dummy_Variables!K35+Multiple_Regression!$B$52*Dummy_Variables!L35+Multiple_Regression!$B$53*Dummy_Variables!M35+Multiple_Regression!$B$54*Dummy_Variables!N35</f>
        <v>520973.7949850423</v>
      </c>
      <c r="G35" s="13">
        <f t="shared" si="0"/>
        <v>-20800.774985042284</v>
      </c>
      <c r="H35" s="13">
        <f t="shared" si="1"/>
        <v>20800.774985042284</v>
      </c>
    </row>
    <row r="36" spans="1:8" x14ac:dyDescent="0.35">
      <c r="A36" s="4" t="str">
        <f>Dummy_Variables!A36</f>
        <v>STR-1008</v>
      </c>
      <c r="B36" s="12">
        <f>Dummy_Variables!B36</f>
        <v>45748</v>
      </c>
      <c r="C36" s="4" t="str">
        <f>Dummy_Variables!C36</f>
        <v>East</v>
      </c>
      <c r="D36" s="4" t="str">
        <f>Dummy_Variables!D36</f>
        <v>Residential</v>
      </c>
      <c r="E36" s="13">
        <f>Dummy_Variables!P36</f>
        <v>427917.38</v>
      </c>
      <c r="F36" s="13">
        <f>Multiple_Regression!$B$44+Multiple_Regression!$B$45*Dummy_Variables!E36+Multiple_Regression!$B$46*Dummy_Variables!F36+Multiple_Regression!$B$47*Dummy_Variables!G36+Multiple_Regression!$B$48*Dummy_Variables!H36+Multiple_Regression!$B$49*Dummy_Variables!I36+Multiple_Regression!$B$50*Dummy_Variables!J36+Multiple_Regression!$B$51*Dummy_Variables!K36+Multiple_Regression!$B$52*Dummy_Variables!L36+Multiple_Regression!$B$53*Dummy_Variables!M36+Multiple_Regression!$B$54*Dummy_Variables!N36</f>
        <v>465173.37878125045</v>
      </c>
      <c r="G36" s="13">
        <f t="shared" si="0"/>
        <v>-37255.998781250441</v>
      </c>
      <c r="H36" s="13">
        <f t="shared" si="1"/>
        <v>37255.998781250441</v>
      </c>
    </row>
    <row r="37" spans="1:8" x14ac:dyDescent="0.35">
      <c r="A37" s="4" t="str">
        <f>Dummy_Variables!A37</f>
        <v>STR-1009</v>
      </c>
      <c r="B37" s="12">
        <f>Dummy_Variables!B37</f>
        <v>45658</v>
      </c>
      <c r="C37" s="4" t="str">
        <f>Dummy_Variables!C37</f>
        <v>North</v>
      </c>
      <c r="D37" s="4" t="str">
        <f>Dummy_Variables!D37</f>
        <v>Residential</v>
      </c>
      <c r="E37" s="13">
        <f>Dummy_Variables!P37</f>
        <v>641865.03</v>
      </c>
      <c r="F37" s="13">
        <f>Multiple_Regression!$B$44+Multiple_Regression!$B$45*Dummy_Variables!E37+Multiple_Regression!$B$46*Dummy_Variables!F37+Multiple_Regression!$B$47*Dummy_Variables!G37+Multiple_Regression!$B$48*Dummy_Variables!H37+Multiple_Regression!$B$49*Dummy_Variables!I37+Multiple_Regression!$B$50*Dummy_Variables!J37+Multiple_Regression!$B$51*Dummy_Variables!K37+Multiple_Regression!$B$52*Dummy_Variables!L37+Multiple_Regression!$B$53*Dummy_Variables!M37+Multiple_Regression!$B$54*Dummy_Variables!N37</f>
        <v>717171.62137278612</v>
      </c>
      <c r="G37" s="13">
        <f t="shared" si="0"/>
        <v>-75306.59137278609</v>
      </c>
      <c r="H37" s="13">
        <f t="shared" si="1"/>
        <v>75306.59137278609</v>
      </c>
    </row>
    <row r="38" spans="1:8" x14ac:dyDescent="0.35">
      <c r="A38" s="4" t="str">
        <f>Dummy_Variables!A38</f>
        <v>STR-1009</v>
      </c>
      <c r="B38" s="12">
        <f>Dummy_Variables!B38</f>
        <v>45689</v>
      </c>
      <c r="C38" s="4" t="str">
        <f>Dummy_Variables!C38</f>
        <v>North</v>
      </c>
      <c r="D38" s="4" t="str">
        <f>Dummy_Variables!D38</f>
        <v>Residential</v>
      </c>
      <c r="E38" s="13">
        <f>Dummy_Variables!P38</f>
        <v>799477.76000000001</v>
      </c>
      <c r="F38" s="13">
        <f>Multiple_Regression!$B$44+Multiple_Regression!$B$45*Dummy_Variables!E38+Multiple_Regression!$B$46*Dummy_Variables!F38+Multiple_Regression!$B$47*Dummy_Variables!G38+Multiple_Regression!$B$48*Dummy_Variables!H38+Multiple_Regression!$B$49*Dummy_Variables!I38+Multiple_Regression!$B$50*Dummy_Variables!J38+Multiple_Regression!$B$51*Dummy_Variables!K38+Multiple_Regression!$B$52*Dummy_Variables!L38+Multiple_Regression!$B$53*Dummy_Variables!M38+Multiple_Regression!$B$54*Dummy_Variables!N38</f>
        <v>856931.85733041726</v>
      </c>
      <c r="G38" s="13">
        <f t="shared" si="0"/>
        <v>-57454.097330417251</v>
      </c>
      <c r="H38" s="13">
        <f t="shared" si="1"/>
        <v>57454.097330417251</v>
      </c>
    </row>
    <row r="39" spans="1:8" x14ac:dyDescent="0.35">
      <c r="A39" s="4" t="str">
        <f>Dummy_Variables!A39</f>
        <v>STR-1009</v>
      </c>
      <c r="B39" s="12">
        <f>Dummy_Variables!B39</f>
        <v>45717</v>
      </c>
      <c r="C39" s="4" t="str">
        <f>Dummy_Variables!C39</f>
        <v>North</v>
      </c>
      <c r="D39" s="4" t="str">
        <f>Dummy_Variables!D39</f>
        <v>Residential</v>
      </c>
      <c r="E39" s="13">
        <f>Dummy_Variables!P39</f>
        <v>798952.17</v>
      </c>
      <c r="F39" s="13">
        <f>Multiple_Regression!$B$44+Multiple_Regression!$B$45*Dummy_Variables!E39+Multiple_Regression!$B$46*Dummy_Variables!F39+Multiple_Regression!$B$47*Dummy_Variables!G39+Multiple_Regression!$B$48*Dummy_Variables!H39+Multiple_Regression!$B$49*Dummy_Variables!I39+Multiple_Regression!$B$50*Dummy_Variables!J39+Multiple_Regression!$B$51*Dummy_Variables!K39+Multiple_Regression!$B$52*Dummy_Variables!L39+Multiple_Regression!$B$53*Dummy_Variables!M39+Multiple_Regression!$B$54*Dummy_Variables!N39</f>
        <v>797724.79222197458</v>
      </c>
      <c r="G39" s="13">
        <f t="shared" si="0"/>
        <v>1227.3777780254604</v>
      </c>
      <c r="H39" s="13">
        <f t="shared" si="1"/>
        <v>1227.3777780254604</v>
      </c>
    </row>
    <row r="40" spans="1:8" x14ac:dyDescent="0.35">
      <c r="A40" s="4" t="str">
        <f>Dummy_Variables!A40</f>
        <v>STR-1009</v>
      </c>
      <c r="B40" s="12">
        <f>Dummy_Variables!B40</f>
        <v>45748</v>
      </c>
      <c r="C40" s="4" t="str">
        <f>Dummy_Variables!C40</f>
        <v>North</v>
      </c>
      <c r="D40" s="4" t="str">
        <f>Dummy_Variables!D40</f>
        <v>Residential</v>
      </c>
      <c r="E40" s="13">
        <f>Dummy_Variables!P40</f>
        <v>800979.78</v>
      </c>
      <c r="F40" s="13">
        <f>Multiple_Regression!$B$44+Multiple_Regression!$B$45*Dummy_Variables!E40+Multiple_Regression!$B$46*Dummy_Variables!F40+Multiple_Regression!$B$47*Dummy_Variables!G40+Multiple_Regression!$B$48*Dummy_Variables!H40+Multiple_Regression!$B$49*Dummy_Variables!I40+Multiple_Regression!$B$50*Dummy_Variables!J40+Multiple_Regression!$B$51*Dummy_Variables!K40+Multiple_Regression!$B$52*Dummy_Variables!L40+Multiple_Regression!$B$53*Dummy_Variables!M40+Multiple_Regression!$B$54*Dummy_Variables!N40</f>
        <v>803718.01192330627</v>
      </c>
      <c r="G40" s="13">
        <f t="shared" si="0"/>
        <v>-2738.2319233062444</v>
      </c>
      <c r="H40" s="13">
        <f t="shared" si="1"/>
        <v>2738.2319233062444</v>
      </c>
    </row>
    <row r="41" spans="1:8" x14ac:dyDescent="0.35">
      <c r="A41" s="4" t="str">
        <f>Dummy_Variables!A41</f>
        <v>STR-1010</v>
      </c>
      <c r="B41" s="12">
        <f>Dummy_Variables!B41</f>
        <v>45658</v>
      </c>
      <c r="C41" s="4" t="str">
        <f>Dummy_Variables!C41</f>
        <v>North</v>
      </c>
      <c r="D41" s="4" t="str">
        <f>Dummy_Variables!D41</f>
        <v>Mall</v>
      </c>
      <c r="E41" s="13">
        <f>Dummy_Variables!P41</f>
        <v>820593.93</v>
      </c>
      <c r="F41" s="13">
        <f>Multiple_Regression!$B$44+Multiple_Regression!$B$45*Dummy_Variables!E41+Multiple_Regression!$B$46*Dummy_Variables!F41+Multiple_Regression!$B$47*Dummy_Variables!G41+Multiple_Regression!$B$48*Dummy_Variables!H41+Multiple_Regression!$B$49*Dummy_Variables!I41+Multiple_Regression!$B$50*Dummy_Variables!J41+Multiple_Regression!$B$51*Dummy_Variables!K41+Multiple_Regression!$B$52*Dummy_Variables!L41+Multiple_Regression!$B$53*Dummy_Variables!M41+Multiple_Regression!$B$54*Dummy_Variables!N41</f>
        <v>776192.66704534844</v>
      </c>
      <c r="G41" s="13">
        <f t="shared" si="0"/>
        <v>44401.262954651611</v>
      </c>
      <c r="H41" s="13">
        <f t="shared" si="1"/>
        <v>44401.262954651611</v>
      </c>
    </row>
    <row r="42" spans="1:8" x14ac:dyDescent="0.35">
      <c r="A42" s="4" t="str">
        <f>Dummy_Variables!A42</f>
        <v>STR-1010</v>
      </c>
      <c r="B42" s="12">
        <f>Dummy_Variables!B42</f>
        <v>45689</v>
      </c>
      <c r="C42" s="4" t="str">
        <f>Dummy_Variables!C42</f>
        <v>North</v>
      </c>
      <c r="D42" s="4" t="str">
        <f>Dummy_Variables!D42</f>
        <v>Mall</v>
      </c>
      <c r="E42" s="13">
        <f>Dummy_Variables!P42</f>
        <v>718330.53</v>
      </c>
      <c r="F42" s="13">
        <f>Multiple_Regression!$B$44+Multiple_Regression!$B$45*Dummy_Variables!E42+Multiple_Regression!$B$46*Dummy_Variables!F42+Multiple_Regression!$B$47*Dummy_Variables!G42+Multiple_Regression!$B$48*Dummy_Variables!H42+Multiple_Regression!$B$49*Dummy_Variables!I42+Multiple_Regression!$B$50*Dummy_Variables!J42+Multiple_Regression!$B$51*Dummy_Variables!K42+Multiple_Regression!$B$52*Dummy_Variables!L42+Multiple_Regression!$B$53*Dummy_Variables!M42+Multiple_Regression!$B$54*Dummy_Variables!N42</f>
        <v>748155.08623429248</v>
      </c>
      <c r="G42" s="13">
        <f t="shared" si="0"/>
        <v>-29824.556234292453</v>
      </c>
      <c r="H42" s="13">
        <f t="shared" si="1"/>
        <v>29824.556234292453</v>
      </c>
    </row>
    <row r="43" spans="1:8" x14ac:dyDescent="0.35">
      <c r="A43" s="4" t="str">
        <f>Dummy_Variables!A43</f>
        <v>STR-1010</v>
      </c>
      <c r="B43" s="12">
        <f>Dummy_Variables!B43</f>
        <v>45717</v>
      </c>
      <c r="C43" s="4" t="str">
        <f>Dummy_Variables!C43</f>
        <v>North</v>
      </c>
      <c r="D43" s="4" t="str">
        <f>Dummy_Variables!D43</f>
        <v>Mall</v>
      </c>
      <c r="E43" s="13">
        <f>Dummy_Variables!P43</f>
        <v>736633.4</v>
      </c>
      <c r="F43" s="13">
        <f>Multiple_Regression!$B$44+Multiple_Regression!$B$45*Dummy_Variables!E43+Multiple_Regression!$B$46*Dummy_Variables!F43+Multiple_Regression!$B$47*Dummy_Variables!G43+Multiple_Regression!$B$48*Dummy_Variables!H43+Multiple_Regression!$B$49*Dummy_Variables!I43+Multiple_Regression!$B$50*Dummy_Variables!J43+Multiple_Regression!$B$51*Dummy_Variables!K43+Multiple_Regression!$B$52*Dummy_Variables!L43+Multiple_Regression!$B$53*Dummy_Variables!M43+Multiple_Regression!$B$54*Dummy_Variables!N43</f>
        <v>748258.2255242886</v>
      </c>
      <c r="G43" s="13">
        <f t="shared" si="0"/>
        <v>-11624.825524288579</v>
      </c>
      <c r="H43" s="13">
        <f t="shared" si="1"/>
        <v>11624.825524288579</v>
      </c>
    </row>
    <row r="44" spans="1:8" x14ac:dyDescent="0.35">
      <c r="A44" s="4" t="str">
        <f>Dummy_Variables!A44</f>
        <v>STR-1010</v>
      </c>
      <c r="B44" s="12">
        <f>Dummy_Variables!B44</f>
        <v>45748</v>
      </c>
      <c r="C44" s="4" t="str">
        <f>Dummy_Variables!C44</f>
        <v>North</v>
      </c>
      <c r="D44" s="4" t="str">
        <f>Dummy_Variables!D44</f>
        <v>Mall</v>
      </c>
      <c r="E44" s="13">
        <f>Dummy_Variables!P44</f>
        <v>828623.85</v>
      </c>
      <c r="F44" s="13">
        <f>Multiple_Regression!$B$44+Multiple_Regression!$B$45*Dummy_Variables!E44+Multiple_Regression!$B$46*Dummy_Variables!F44+Multiple_Regression!$B$47*Dummy_Variables!G44+Multiple_Regression!$B$48*Dummy_Variables!H44+Multiple_Regression!$B$49*Dummy_Variables!I44+Multiple_Regression!$B$50*Dummy_Variables!J44+Multiple_Regression!$B$51*Dummy_Variables!K44+Multiple_Regression!$B$52*Dummy_Variables!L44+Multiple_Regression!$B$53*Dummy_Variables!M44+Multiple_Regression!$B$54*Dummy_Variables!N44</f>
        <v>846445.98774320888</v>
      </c>
      <c r="G44" s="13">
        <f t="shared" si="0"/>
        <v>-17822.137743208907</v>
      </c>
      <c r="H44" s="13">
        <f t="shared" si="1"/>
        <v>17822.137743208907</v>
      </c>
    </row>
    <row r="45" spans="1:8" x14ac:dyDescent="0.35">
      <c r="A45" s="4" t="str">
        <f>Dummy_Variables!A45</f>
        <v>STR-1011</v>
      </c>
      <c r="B45" s="12">
        <f>Dummy_Variables!B45</f>
        <v>45658</v>
      </c>
      <c r="C45" s="4" t="str">
        <f>Dummy_Variables!C45</f>
        <v>East</v>
      </c>
      <c r="D45" s="4" t="str">
        <f>Dummy_Variables!D45</f>
        <v>Mall</v>
      </c>
      <c r="E45" s="13">
        <f>Dummy_Variables!P45</f>
        <v>592195.85</v>
      </c>
      <c r="F45" s="13">
        <f>Multiple_Regression!$B$44+Multiple_Regression!$B$45*Dummy_Variables!E45+Multiple_Regression!$B$46*Dummy_Variables!F45+Multiple_Regression!$B$47*Dummy_Variables!G45+Multiple_Regression!$B$48*Dummy_Variables!H45+Multiple_Regression!$B$49*Dummy_Variables!I45+Multiple_Regression!$B$50*Dummy_Variables!J45+Multiple_Regression!$B$51*Dummy_Variables!K45+Multiple_Regression!$B$52*Dummy_Variables!L45+Multiple_Regression!$B$53*Dummy_Variables!M45+Multiple_Regression!$B$54*Dummy_Variables!N45</f>
        <v>594275.58038602443</v>
      </c>
      <c r="G45" s="13">
        <f t="shared" si="0"/>
        <v>-2079.7303860244574</v>
      </c>
      <c r="H45" s="13">
        <f t="shared" si="1"/>
        <v>2079.7303860244574</v>
      </c>
    </row>
    <row r="46" spans="1:8" x14ac:dyDescent="0.35">
      <c r="A46" s="4" t="str">
        <f>Dummy_Variables!A46</f>
        <v>STR-1011</v>
      </c>
      <c r="B46" s="12">
        <f>Dummy_Variables!B46</f>
        <v>45689</v>
      </c>
      <c r="C46" s="4" t="str">
        <f>Dummy_Variables!C46</f>
        <v>East</v>
      </c>
      <c r="D46" s="4" t="str">
        <f>Dummy_Variables!D46</f>
        <v>Mall</v>
      </c>
      <c r="E46" s="13">
        <f>Dummy_Variables!P46</f>
        <v>532644.46</v>
      </c>
      <c r="F46" s="13">
        <f>Multiple_Regression!$B$44+Multiple_Regression!$B$45*Dummy_Variables!E46+Multiple_Regression!$B$46*Dummy_Variables!F46+Multiple_Regression!$B$47*Dummy_Variables!G46+Multiple_Regression!$B$48*Dummy_Variables!H46+Multiple_Regression!$B$49*Dummy_Variables!I46+Multiple_Regression!$B$50*Dummy_Variables!J46+Multiple_Regression!$B$51*Dummy_Variables!K46+Multiple_Regression!$B$52*Dummy_Variables!L46+Multiple_Regression!$B$53*Dummy_Variables!M46+Multiple_Regression!$B$54*Dummy_Variables!N46</f>
        <v>542621.1405579726</v>
      </c>
      <c r="G46" s="13">
        <f t="shared" si="0"/>
        <v>-9976.6805579726351</v>
      </c>
      <c r="H46" s="13">
        <f t="shared" si="1"/>
        <v>9976.6805579726351</v>
      </c>
    </row>
    <row r="47" spans="1:8" x14ac:dyDescent="0.35">
      <c r="A47" s="4" t="str">
        <f>Dummy_Variables!A47</f>
        <v>STR-1011</v>
      </c>
      <c r="B47" s="12">
        <f>Dummy_Variables!B47</f>
        <v>45717</v>
      </c>
      <c r="C47" s="4" t="str">
        <f>Dummy_Variables!C47</f>
        <v>East</v>
      </c>
      <c r="D47" s="4" t="str">
        <f>Dummy_Variables!D47</f>
        <v>Mall</v>
      </c>
      <c r="E47" s="13">
        <f>Dummy_Variables!P47</f>
        <v>657429.18000000005</v>
      </c>
      <c r="F47" s="13">
        <f>Multiple_Regression!$B$44+Multiple_Regression!$B$45*Dummy_Variables!E47+Multiple_Regression!$B$46*Dummy_Variables!F47+Multiple_Regression!$B$47*Dummy_Variables!G47+Multiple_Regression!$B$48*Dummy_Variables!H47+Multiple_Regression!$B$49*Dummy_Variables!I47+Multiple_Regression!$B$50*Dummy_Variables!J47+Multiple_Regression!$B$51*Dummy_Variables!K47+Multiple_Regression!$B$52*Dummy_Variables!L47+Multiple_Regression!$B$53*Dummy_Variables!M47+Multiple_Regression!$B$54*Dummy_Variables!N47</f>
        <v>620817.46428188926</v>
      </c>
      <c r="G47" s="13">
        <f t="shared" si="0"/>
        <v>36611.71571811079</v>
      </c>
      <c r="H47" s="13">
        <f t="shared" si="1"/>
        <v>36611.71571811079</v>
      </c>
    </row>
    <row r="48" spans="1:8" x14ac:dyDescent="0.35">
      <c r="A48" s="4" t="str">
        <f>Dummy_Variables!A48</f>
        <v>STR-1011</v>
      </c>
      <c r="B48" s="12">
        <f>Dummy_Variables!B48</f>
        <v>45748</v>
      </c>
      <c r="C48" s="4" t="str">
        <f>Dummy_Variables!C48</f>
        <v>East</v>
      </c>
      <c r="D48" s="4" t="str">
        <f>Dummy_Variables!D48</f>
        <v>Mall</v>
      </c>
      <c r="E48" s="13">
        <f>Dummy_Variables!P48</f>
        <v>605178</v>
      </c>
      <c r="F48" s="13">
        <f>Multiple_Regression!$B$44+Multiple_Regression!$B$45*Dummy_Variables!E48+Multiple_Regression!$B$46*Dummy_Variables!F48+Multiple_Regression!$B$47*Dummy_Variables!G48+Multiple_Regression!$B$48*Dummy_Variables!H48+Multiple_Regression!$B$49*Dummy_Variables!I48+Multiple_Regression!$B$50*Dummy_Variables!J48+Multiple_Regression!$B$51*Dummy_Variables!K48+Multiple_Regression!$B$52*Dummy_Variables!L48+Multiple_Regression!$B$53*Dummy_Variables!M48+Multiple_Regression!$B$54*Dummy_Variables!N48</f>
        <v>611497.18527059769</v>
      </c>
      <c r="G48" s="13">
        <f t="shared" si="0"/>
        <v>-6319.1852705976926</v>
      </c>
      <c r="H48" s="13">
        <f t="shared" si="1"/>
        <v>6319.1852705976926</v>
      </c>
    </row>
    <row r="49" spans="1:8" x14ac:dyDescent="0.35">
      <c r="A49" s="4" t="str">
        <f>Dummy_Variables!A49</f>
        <v>STR-1012</v>
      </c>
      <c r="B49" s="12">
        <f>Dummy_Variables!B49</f>
        <v>45658</v>
      </c>
      <c r="C49" s="4" t="str">
        <f>Dummy_Variables!C49</f>
        <v>West</v>
      </c>
      <c r="D49" s="4" t="str">
        <f>Dummy_Variables!D49</f>
        <v>Residential</v>
      </c>
      <c r="E49" s="13">
        <f>Dummy_Variables!P49</f>
        <v>595467.6</v>
      </c>
      <c r="F49" s="13">
        <f>Multiple_Regression!$B$44+Multiple_Regression!$B$45*Dummy_Variables!E49+Multiple_Regression!$B$46*Dummy_Variables!F49+Multiple_Regression!$B$47*Dummy_Variables!G49+Multiple_Regression!$B$48*Dummy_Variables!H49+Multiple_Regression!$B$49*Dummy_Variables!I49+Multiple_Regression!$B$50*Dummy_Variables!J49+Multiple_Regression!$B$51*Dummy_Variables!K49+Multiple_Regression!$B$52*Dummy_Variables!L49+Multiple_Regression!$B$53*Dummy_Variables!M49+Multiple_Regression!$B$54*Dummy_Variables!N49</f>
        <v>691725.11898924829</v>
      </c>
      <c r="G49" s="13">
        <f t="shared" si="0"/>
        <v>-96257.518989248318</v>
      </c>
      <c r="H49" s="13">
        <f t="shared" si="1"/>
        <v>96257.518989248318</v>
      </c>
    </row>
    <row r="50" spans="1:8" x14ac:dyDescent="0.35">
      <c r="A50" s="4" t="str">
        <f>Dummy_Variables!A50</f>
        <v>STR-1012</v>
      </c>
      <c r="B50" s="12">
        <f>Dummy_Variables!B50</f>
        <v>45689</v>
      </c>
      <c r="C50" s="4" t="str">
        <f>Dummy_Variables!C50</f>
        <v>West</v>
      </c>
      <c r="D50" s="4" t="str">
        <f>Dummy_Variables!D50</f>
        <v>Residential</v>
      </c>
      <c r="E50" s="13">
        <f>Dummy_Variables!P50</f>
        <v>599603.4</v>
      </c>
      <c r="F50" s="13">
        <f>Multiple_Regression!$B$44+Multiple_Regression!$B$45*Dummy_Variables!E50+Multiple_Regression!$B$46*Dummy_Variables!F50+Multiple_Regression!$B$47*Dummy_Variables!G50+Multiple_Regression!$B$48*Dummy_Variables!H50+Multiple_Regression!$B$49*Dummy_Variables!I50+Multiple_Regression!$B$50*Dummy_Variables!J50+Multiple_Regression!$B$51*Dummy_Variables!K50+Multiple_Regression!$B$52*Dummy_Variables!L50+Multiple_Regression!$B$53*Dummy_Variables!M50+Multiple_Regression!$B$54*Dummy_Variables!N50</f>
        <v>617011.39487905416</v>
      </c>
      <c r="G50" s="13">
        <f t="shared" si="0"/>
        <v>-17407.994879054138</v>
      </c>
      <c r="H50" s="13">
        <f t="shared" si="1"/>
        <v>17407.994879054138</v>
      </c>
    </row>
    <row r="51" spans="1:8" x14ac:dyDescent="0.35">
      <c r="A51" s="4" t="str">
        <f>Dummy_Variables!A51</f>
        <v>STR-1012</v>
      </c>
      <c r="B51" s="12">
        <f>Dummy_Variables!B51</f>
        <v>45717</v>
      </c>
      <c r="C51" s="4" t="str">
        <f>Dummy_Variables!C51</f>
        <v>West</v>
      </c>
      <c r="D51" s="4" t="str">
        <f>Dummy_Variables!D51</f>
        <v>Residential</v>
      </c>
      <c r="E51" s="13">
        <f>Dummy_Variables!P51</f>
        <v>614800.09</v>
      </c>
      <c r="F51" s="13">
        <f>Multiple_Regression!$B$44+Multiple_Regression!$B$45*Dummy_Variables!E51+Multiple_Regression!$B$46*Dummy_Variables!F51+Multiple_Regression!$B$47*Dummy_Variables!G51+Multiple_Regression!$B$48*Dummy_Variables!H51+Multiple_Regression!$B$49*Dummy_Variables!I51+Multiple_Regression!$B$50*Dummy_Variables!J51+Multiple_Regression!$B$51*Dummy_Variables!K51+Multiple_Regression!$B$52*Dummy_Variables!L51+Multiple_Regression!$B$53*Dummy_Variables!M51+Multiple_Regression!$B$54*Dummy_Variables!N51</f>
        <v>578056.02214873291</v>
      </c>
      <c r="G51" s="13">
        <f t="shared" si="0"/>
        <v>36744.067851267057</v>
      </c>
      <c r="H51" s="13">
        <f t="shared" si="1"/>
        <v>36744.067851267057</v>
      </c>
    </row>
    <row r="52" spans="1:8" x14ac:dyDescent="0.35">
      <c r="A52" s="4" t="str">
        <f>Dummy_Variables!A52</f>
        <v>STR-1012</v>
      </c>
      <c r="B52" s="12">
        <f>Dummy_Variables!B52</f>
        <v>45748</v>
      </c>
      <c r="C52" s="4" t="str">
        <f>Dummy_Variables!C52</f>
        <v>West</v>
      </c>
      <c r="D52" s="4" t="str">
        <f>Dummy_Variables!D52</f>
        <v>Residential</v>
      </c>
      <c r="E52" s="13">
        <f>Dummy_Variables!P52</f>
        <v>585365.73</v>
      </c>
      <c r="F52" s="13">
        <f>Multiple_Regression!$B$44+Multiple_Regression!$B$45*Dummy_Variables!E52+Multiple_Regression!$B$46*Dummy_Variables!F52+Multiple_Regression!$B$47*Dummy_Variables!G52+Multiple_Regression!$B$48*Dummy_Variables!H52+Multiple_Regression!$B$49*Dummy_Variables!I52+Multiple_Regression!$B$50*Dummy_Variables!J52+Multiple_Regression!$B$51*Dummy_Variables!K52+Multiple_Regression!$B$52*Dummy_Variables!L52+Multiple_Regression!$B$53*Dummy_Variables!M52+Multiple_Regression!$B$54*Dummy_Variables!N52</f>
        <v>534343.99487547949</v>
      </c>
      <c r="G52" s="13">
        <f t="shared" si="0"/>
        <v>51021.735124520492</v>
      </c>
      <c r="H52" s="13">
        <f t="shared" si="1"/>
        <v>51021.735124520492</v>
      </c>
    </row>
    <row r="53" spans="1:8" x14ac:dyDescent="0.35">
      <c r="A53" s="4" t="str">
        <f>Dummy_Variables!A53</f>
        <v>STR-1013</v>
      </c>
      <c r="B53" s="12">
        <f>Dummy_Variables!B53</f>
        <v>45658</v>
      </c>
      <c r="C53" s="4" t="str">
        <f>Dummy_Variables!C53</f>
        <v>North</v>
      </c>
      <c r="D53" s="4" t="str">
        <f>Dummy_Variables!D53</f>
        <v>Mall</v>
      </c>
      <c r="E53" s="13">
        <f>Dummy_Variables!P53</f>
        <v>622811.74</v>
      </c>
      <c r="F53" s="13">
        <f>Multiple_Regression!$B$44+Multiple_Regression!$B$45*Dummy_Variables!E53+Multiple_Regression!$B$46*Dummy_Variables!F53+Multiple_Regression!$B$47*Dummy_Variables!G53+Multiple_Regression!$B$48*Dummy_Variables!H53+Multiple_Regression!$B$49*Dummy_Variables!I53+Multiple_Regression!$B$50*Dummy_Variables!J53+Multiple_Regression!$B$51*Dummy_Variables!K53+Multiple_Regression!$B$52*Dummy_Variables!L53+Multiple_Regression!$B$53*Dummy_Variables!M53+Multiple_Regression!$B$54*Dummy_Variables!N53</f>
        <v>684490.06696789444</v>
      </c>
      <c r="G53" s="13">
        <f t="shared" si="0"/>
        <v>-61678.326967894449</v>
      </c>
      <c r="H53" s="13">
        <f t="shared" si="1"/>
        <v>61678.326967894449</v>
      </c>
    </row>
    <row r="54" spans="1:8" x14ac:dyDescent="0.35">
      <c r="A54" s="4" t="str">
        <f>Dummy_Variables!A54</f>
        <v>STR-1013</v>
      </c>
      <c r="B54" s="12">
        <f>Dummy_Variables!B54</f>
        <v>45689</v>
      </c>
      <c r="C54" s="4" t="str">
        <f>Dummy_Variables!C54</f>
        <v>North</v>
      </c>
      <c r="D54" s="4" t="str">
        <f>Dummy_Variables!D54</f>
        <v>Mall</v>
      </c>
      <c r="E54" s="13">
        <f>Dummy_Variables!P54</f>
        <v>603297.56999999995</v>
      </c>
      <c r="F54" s="13">
        <f>Multiple_Regression!$B$44+Multiple_Regression!$B$45*Dummy_Variables!E54+Multiple_Regression!$B$46*Dummy_Variables!F54+Multiple_Regression!$B$47*Dummy_Variables!G54+Multiple_Regression!$B$48*Dummy_Variables!H54+Multiple_Regression!$B$49*Dummy_Variables!I54+Multiple_Regression!$B$50*Dummy_Variables!J54+Multiple_Regression!$B$51*Dummy_Variables!K54+Multiple_Regression!$B$52*Dummy_Variables!L54+Multiple_Regression!$B$53*Dummy_Variables!M54+Multiple_Regression!$B$54*Dummy_Variables!N54</f>
        <v>585316.17780040158</v>
      </c>
      <c r="G54" s="13">
        <f t="shared" si="0"/>
        <v>17981.392199598369</v>
      </c>
      <c r="H54" s="13">
        <f t="shared" si="1"/>
        <v>17981.392199598369</v>
      </c>
    </row>
    <row r="55" spans="1:8" x14ac:dyDescent="0.35">
      <c r="A55" s="4" t="str">
        <f>Dummy_Variables!A55</f>
        <v>STR-1013</v>
      </c>
      <c r="B55" s="12">
        <f>Dummy_Variables!B55</f>
        <v>45717</v>
      </c>
      <c r="C55" s="4" t="str">
        <f>Dummy_Variables!C55</f>
        <v>North</v>
      </c>
      <c r="D55" s="4" t="str">
        <f>Dummy_Variables!D55</f>
        <v>Mall</v>
      </c>
      <c r="E55" s="13">
        <f>Dummy_Variables!P55</f>
        <v>625672.86</v>
      </c>
      <c r="F55" s="13">
        <f>Multiple_Regression!$B$44+Multiple_Regression!$B$45*Dummy_Variables!E55+Multiple_Regression!$B$46*Dummy_Variables!F55+Multiple_Regression!$B$47*Dummy_Variables!G55+Multiple_Regression!$B$48*Dummy_Variables!H55+Multiple_Regression!$B$49*Dummy_Variables!I55+Multiple_Regression!$B$50*Dummy_Variables!J55+Multiple_Regression!$B$51*Dummy_Variables!K55+Multiple_Regression!$B$52*Dummy_Variables!L55+Multiple_Regression!$B$53*Dummy_Variables!M55+Multiple_Regression!$B$54*Dummy_Variables!N55</f>
        <v>614432.58657436899</v>
      </c>
      <c r="G55" s="13">
        <f t="shared" si="0"/>
        <v>11240.273425630992</v>
      </c>
      <c r="H55" s="13">
        <f t="shared" si="1"/>
        <v>11240.273425630992</v>
      </c>
    </row>
    <row r="56" spans="1:8" x14ac:dyDescent="0.35">
      <c r="A56" s="4" t="str">
        <f>Dummy_Variables!A56</f>
        <v>STR-1013</v>
      </c>
      <c r="B56" s="12">
        <f>Dummy_Variables!B56</f>
        <v>45748</v>
      </c>
      <c r="C56" s="4" t="str">
        <f>Dummy_Variables!C56</f>
        <v>North</v>
      </c>
      <c r="D56" s="4" t="str">
        <f>Dummy_Variables!D56</f>
        <v>Mall</v>
      </c>
      <c r="E56" s="13">
        <f>Dummy_Variables!P56</f>
        <v>773815.14</v>
      </c>
      <c r="F56" s="13">
        <f>Multiple_Regression!$B$44+Multiple_Regression!$B$45*Dummy_Variables!E56+Multiple_Regression!$B$46*Dummy_Variables!F56+Multiple_Regression!$B$47*Dummy_Variables!G56+Multiple_Regression!$B$48*Dummy_Variables!H56+Multiple_Regression!$B$49*Dummy_Variables!I56+Multiple_Regression!$B$50*Dummy_Variables!J56+Multiple_Regression!$B$51*Dummy_Variables!K56+Multiple_Regression!$B$52*Dummy_Variables!L56+Multiple_Regression!$B$53*Dummy_Variables!M56+Multiple_Regression!$B$54*Dummy_Variables!N56</f>
        <v>744449.28474051564</v>
      </c>
      <c r="G56" s="13">
        <f t="shared" si="0"/>
        <v>29365.855259484379</v>
      </c>
      <c r="H56" s="13">
        <f t="shared" si="1"/>
        <v>29365.855259484379</v>
      </c>
    </row>
    <row r="57" spans="1:8" x14ac:dyDescent="0.35">
      <c r="A57" s="4" t="str">
        <f>Dummy_Variables!A57</f>
        <v>STR-1014</v>
      </c>
      <c r="B57" s="12">
        <f>Dummy_Variables!B57</f>
        <v>45658</v>
      </c>
      <c r="C57" s="4" t="str">
        <f>Dummy_Variables!C57</f>
        <v>West</v>
      </c>
      <c r="D57" s="4" t="str">
        <f>Dummy_Variables!D57</f>
        <v>High Street</v>
      </c>
      <c r="E57" s="13">
        <f>Dummy_Variables!P57</f>
        <v>463534.25</v>
      </c>
      <c r="F57" s="13">
        <f>Multiple_Regression!$B$44+Multiple_Regression!$B$45*Dummy_Variables!E57+Multiple_Regression!$B$46*Dummy_Variables!F57+Multiple_Regression!$B$47*Dummy_Variables!G57+Multiple_Regression!$B$48*Dummy_Variables!H57+Multiple_Regression!$B$49*Dummy_Variables!I57+Multiple_Regression!$B$50*Dummy_Variables!J57+Multiple_Regression!$B$51*Dummy_Variables!K57+Multiple_Regression!$B$52*Dummy_Variables!L57+Multiple_Regression!$B$53*Dummy_Variables!M57+Multiple_Regression!$B$54*Dummy_Variables!N57</f>
        <v>501619.98065723787</v>
      </c>
      <c r="G57" s="13">
        <f t="shared" si="0"/>
        <v>-38085.730657237873</v>
      </c>
      <c r="H57" s="13">
        <f t="shared" si="1"/>
        <v>38085.730657237873</v>
      </c>
    </row>
    <row r="58" spans="1:8" x14ac:dyDescent="0.35">
      <c r="A58" s="4" t="str">
        <f>Dummy_Variables!A58</f>
        <v>STR-1014</v>
      </c>
      <c r="B58" s="12">
        <f>Dummy_Variables!B58</f>
        <v>45689</v>
      </c>
      <c r="C58" s="4" t="str">
        <f>Dummy_Variables!C58</f>
        <v>West</v>
      </c>
      <c r="D58" s="4" t="str">
        <f>Dummy_Variables!D58</f>
        <v>High Street</v>
      </c>
      <c r="E58" s="13">
        <f>Dummy_Variables!P58</f>
        <v>746677.75</v>
      </c>
      <c r="F58" s="13">
        <f>Multiple_Regression!$B$44+Multiple_Regression!$B$45*Dummy_Variables!E58+Multiple_Regression!$B$46*Dummy_Variables!F58+Multiple_Regression!$B$47*Dummy_Variables!G58+Multiple_Regression!$B$48*Dummy_Variables!H58+Multiple_Regression!$B$49*Dummy_Variables!I58+Multiple_Regression!$B$50*Dummy_Variables!J58+Multiple_Regression!$B$51*Dummy_Variables!K58+Multiple_Regression!$B$52*Dummy_Variables!L58+Multiple_Regression!$B$53*Dummy_Variables!M58+Multiple_Regression!$B$54*Dummy_Variables!N58</f>
        <v>707874.08301509707</v>
      </c>
      <c r="G58" s="13">
        <f t="shared" si="0"/>
        <v>38803.666984902928</v>
      </c>
      <c r="H58" s="13">
        <f t="shared" si="1"/>
        <v>38803.666984902928</v>
      </c>
    </row>
    <row r="59" spans="1:8" x14ac:dyDescent="0.35">
      <c r="A59" s="4" t="str">
        <f>Dummy_Variables!A59</f>
        <v>STR-1014</v>
      </c>
      <c r="B59" s="12">
        <f>Dummy_Variables!B59</f>
        <v>45717</v>
      </c>
      <c r="C59" s="4" t="str">
        <f>Dummy_Variables!C59</f>
        <v>West</v>
      </c>
      <c r="D59" s="4" t="str">
        <f>Dummy_Variables!D59</f>
        <v>High Street</v>
      </c>
      <c r="E59" s="13">
        <f>Dummy_Variables!P59</f>
        <v>720852.5</v>
      </c>
      <c r="F59" s="13">
        <f>Multiple_Regression!$B$44+Multiple_Regression!$B$45*Dummy_Variables!E59+Multiple_Regression!$B$46*Dummy_Variables!F59+Multiple_Regression!$B$47*Dummy_Variables!G59+Multiple_Regression!$B$48*Dummy_Variables!H59+Multiple_Regression!$B$49*Dummy_Variables!I59+Multiple_Regression!$B$50*Dummy_Variables!J59+Multiple_Regression!$B$51*Dummy_Variables!K59+Multiple_Regression!$B$52*Dummy_Variables!L59+Multiple_Regression!$B$53*Dummy_Variables!M59+Multiple_Regression!$B$54*Dummy_Variables!N59</f>
        <v>687591.62336035643</v>
      </c>
      <c r="G59" s="13">
        <f t="shared" si="0"/>
        <v>33260.876639643568</v>
      </c>
      <c r="H59" s="13">
        <f t="shared" si="1"/>
        <v>33260.876639643568</v>
      </c>
    </row>
    <row r="60" spans="1:8" x14ac:dyDescent="0.35">
      <c r="A60" s="4" t="str">
        <f>Dummy_Variables!A60</f>
        <v>STR-1014</v>
      </c>
      <c r="B60" s="12">
        <f>Dummy_Variables!B60</f>
        <v>45748</v>
      </c>
      <c r="C60" s="4" t="str">
        <f>Dummy_Variables!C60</f>
        <v>West</v>
      </c>
      <c r="D60" s="4" t="str">
        <f>Dummy_Variables!D60</f>
        <v>High Street</v>
      </c>
      <c r="E60" s="13">
        <f>Dummy_Variables!P60</f>
        <v>487464.91</v>
      </c>
      <c r="F60" s="13">
        <f>Multiple_Regression!$B$44+Multiple_Regression!$B$45*Dummy_Variables!E60+Multiple_Regression!$B$46*Dummy_Variables!F60+Multiple_Regression!$B$47*Dummy_Variables!G60+Multiple_Regression!$B$48*Dummy_Variables!H60+Multiple_Regression!$B$49*Dummy_Variables!I60+Multiple_Regression!$B$50*Dummy_Variables!J60+Multiple_Regression!$B$51*Dummy_Variables!K60+Multiple_Regression!$B$52*Dummy_Variables!L60+Multiple_Regression!$B$53*Dummy_Variables!M60+Multiple_Regression!$B$54*Dummy_Variables!N60</f>
        <v>541173.45238536526</v>
      </c>
      <c r="G60" s="13">
        <f t="shared" si="0"/>
        <v>-53708.54238536529</v>
      </c>
      <c r="H60" s="13">
        <f t="shared" si="1"/>
        <v>53708.54238536529</v>
      </c>
    </row>
    <row r="61" spans="1:8" x14ac:dyDescent="0.35">
      <c r="A61" s="4" t="str">
        <f>Dummy_Variables!A61</f>
        <v>STR-1015</v>
      </c>
      <c r="B61" s="12">
        <f>Dummy_Variables!B61</f>
        <v>45658</v>
      </c>
      <c r="C61" s="4" t="str">
        <f>Dummy_Variables!C61</f>
        <v>East</v>
      </c>
      <c r="D61" s="4" t="str">
        <f>Dummy_Variables!D61</f>
        <v>Airport</v>
      </c>
      <c r="E61" s="13">
        <f>Dummy_Variables!P61</f>
        <v>518049.26</v>
      </c>
      <c r="F61" s="13">
        <f>Multiple_Regression!$B$44+Multiple_Regression!$B$45*Dummy_Variables!E61+Multiple_Regression!$B$46*Dummy_Variables!F61+Multiple_Regression!$B$47*Dummy_Variables!G61+Multiple_Regression!$B$48*Dummy_Variables!H61+Multiple_Regression!$B$49*Dummy_Variables!I61+Multiple_Regression!$B$50*Dummy_Variables!J61+Multiple_Regression!$B$51*Dummy_Variables!K61+Multiple_Regression!$B$52*Dummy_Variables!L61+Multiple_Regression!$B$53*Dummy_Variables!M61+Multiple_Regression!$B$54*Dummy_Variables!N61</f>
        <v>553727.20749385515</v>
      </c>
      <c r="G61" s="13">
        <f t="shared" si="0"/>
        <v>-35677.947493855143</v>
      </c>
      <c r="H61" s="13">
        <f t="shared" si="1"/>
        <v>35677.947493855143</v>
      </c>
    </row>
    <row r="62" spans="1:8" x14ac:dyDescent="0.35">
      <c r="A62" s="4" t="str">
        <f>Dummy_Variables!A62</f>
        <v>STR-1015</v>
      </c>
      <c r="B62" s="12">
        <f>Dummy_Variables!B62</f>
        <v>45689</v>
      </c>
      <c r="C62" s="4" t="str">
        <f>Dummy_Variables!C62</f>
        <v>East</v>
      </c>
      <c r="D62" s="4" t="str">
        <f>Dummy_Variables!D62</f>
        <v>Airport</v>
      </c>
      <c r="E62" s="13">
        <f>Dummy_Variables!P62</f>
        <v>500298.48</v>
      </c>
      <c r="F62" s="13">
        <f>Multiple_Regression!$B$44+Multiple_Regression!$B$45*Dummy_Variables!E62+Multiple_Regression!$B$46*Dummy_Variables!F62+Multiple_Regression!$B$47*Dummy_Variables!G62+Multiple_Regression!$B$48*Dummy_Variables!H62+Multiple_Regression!$B$49*Dummy_Variables!I62+Multiple_Regression!$B$50*Dummy_Variables!J62+Multiple_Regression!$B$51*Dummy_Variables!K62+Multiple_Regression!$B$52*Dummy_Variables!L62+Multiple_Regression!$B$53*Dummy_Variables!M62+Multiple_Regression!$B$54*Dummy_Variables!N62</f>
        <v>533508.38404477446</v>
      </c>
      <c r="G62" s="13">
        <f t="shared" si="0"/>
        <v>-33209.904044774477</v>
      </c>
      <c r="H62" s="13">
        <f t="shared" si="1"/>
        <v>33209.904044774477</v>
      </c>
    </row>
    <row r="63" spans="1:8" x14ac:dyDescent="0.35">
      <c r="A63" s="4" t="str">
        <f>Dummy_Variables!A63</f>
        <v>STR-1015</v>
      </c>
      <c r="B63" s="12">
        <f>Dummy_Variables!B63</f>
        <v>45717</v>
      </c>
      <c r="C63" s="4" t="str">
        <f>Dummy_Variables!C63</f>
        <v>East</v>
      </c>
      <c r="D63" s="4" t="str">
        <f>Dummy_Variables!D63</f>
        <v>Airport</v>
      </c>
      <c r="E63" s="13">
        <f>Dummy_Variables!P63</f>
        <v>617291.15</v>
      </c>
      <c r="F63" s="13">
        <f>Multiple_Regression!$B$44+Multiple_Regression!$B$45*Dummy_Variables!E63+Multiple_Regression!$B$46*Dummy_Variables!F63+Multiple_Regression!$B$47*Dummy_Variables!G63+Multiple_Regression!$B$48*Dummy_Variables!H63+Multiple_Regression!$B$49*Dummy_Variables!I63+Multiple_Regression!$B$50*Dummy_Variables!J63+Multiple_Regression!$B$51*Dummy_Variables!K63+Multiple_Regression!$B$52*Dummy_Variables!L63+Multiple_Regression!$B$53*Dummy_Variables!M63+Multiple_Regression!$B$54*Dummy_Variables!N63</f>
        <v>692715.52103817638</v>
      </c>
      <c r="G63" s="13">
        <f t="shared" si="0"/>
        <v>-75424.371038176352</v>
      </c>
      <c r="H63" s="13">
        <f t="shared" si="1"/>
        <v>75424.371038176352</v>
      </c>
    </row>
    <row r="64" spans="1:8" x14ac:dyDescent="0.35">
      <c r="A64" s="4" t="str">
        <f>Dummy_Variables!A64</f>
        <v>STR-1015</v>
      </c>
      <c r="B64" s="12">
        <f>Dummy_Variables!B64</f>
        <v>45748</v>
      </c>
      <c r="C64" s="4" t="str">
        <f>Dummy_Variables!C64</f>
        <v>East</v>
      </c>
      <c r="D64" s="4" t="str">
        <f>Dummy_Variables!D64</f>
        <v>Airport</v>
      </c>
      <c r="E64" s="13">
        <f>Dummy_Variables!P64</f>
        <v>553756.43000000005</v>
      </c>
      <c r="F64" s="13">
        <f>Multiple_Regression!$B$44+Multiple_Regression!$B$45*Dummy_Variables!E64+Multiple_Regression!$B$46*Dummy_Variables!F64+Multiple_Regression!$B$47*Dummy_Variables!G64+Multiple_Regression!$B$48*Dummy_Variables!H64+Multiple_Regression!$B$49*Dummy_Variables!I64+Multiple_Regression!$B$50*Dummy_Variables!J64+Multiple_Regression!$B$51*Dummy_Variables!K64+Multiple_Regression!$B$52*Dummy_Variables!L64+Multiple_Regression!$B$53*Dummy_Variables!M64+Multiple_Regression!$B$54*Dummy_Variables!N64</f>
        <v>591354.2174128528</v>
      </c>
      <c r="G64" s="13">
        <f t="shared" si="0"/>
        <v>-37597.787412852747</v>
      </c>
      <c r="H64" s="13">
        <f t="shared" si="1"/>
        <v>37597.787412852747</v>
      </c>
    </row>
    <row r="65" spans="1:8" x14ac:dyDescent="0.35">
      <c r="A65" s="4" t="str">
        <f>Dummy_Variables!A65</f>
        <v>STR-1016</v>
      </c>
      <c r="B65" s="12">
        <f>Dummy_Variables!B65</f>
        <v>45658</v>
      </c>
      <c r="C65" s="4" t="str">
        <f>Dummy_Variables!C65</f>
        <v>South</v>
      </c>
      <c r="D65" s="4" t="str">
        <f>Dummy_Variables!D65</f>
        <v>High Street</v>
      </c>
      <c r="E65" s="13">
        <f>Dummy_Variables!P65</f>
        <v>749559.71</v>
      </c>
      <c r="F65" s="13">
        <f>Multiple_Regression!$B$44+Multiple_Regression!$B$45*Dummy_Variables!E65+Multiple_Regression!$B$46*Dummy_Variables!F65+Multiple_Regression!$B$47*Dummy_Variables!G65+Multiple_Regression!$B$48*Dummy_Variables!H65+Multiple_Regression!$B$49*Dummy_Variables!I65+Multiple_Regression!$B$50*Dummy_Variables!J65+Multiple_Regression!$B$51*Dummy_Variables!K65+Multiple_Regression!$B$52*Dummy_Variables!L65+Multiple_Regression!$B$53*Dummy_Variables!M65+Multiple_Regression!$B$54*Dummy_Variables!N65</f>
        <v>693879.67669671262</v>
      </c>
      <c r="G65" s="13">
        <f t="shared" si="0"/>
        <v>55680.033303287346</v>
      </c>
      <c r="H65" s="13">
        <f t="shared" si="1"/>
        <v>55680.033303287346</v>
      </c>
    </row>
    <row r="66" spans="1:8" x14ac:dyDescent="0.35">
      <c r="A66" s="4" t="str">
        <f>Dummy_Variables!A66</f>
        <v>STR-1016</v>
      </c>
      <c r="B66" s="12">
        <f>Dummy_Variables!B66</f>
        <v>45689</v>
      </c>
      <c r="C66" s="4" t="str">
        <f>Dummy_Variables!C66</f>
        <v>South</v>
      </c>
      <c r="D66" s="4" t="str">
        <f>Dummy_Variables!D66</f>
        <v>High Street</v>
      </c>
      <c r="E66" s="13">
        <f>Dummy_Variables!P66</f>
        <v>615966.48</v>
      </c>
      <c r="F66" s="13">
        <f>Multiple_Regression!$B$44+Multiple_Regression!$B$45*Dummy_Variables!E66+Multiple_Regression!$B$46*Dummy_Variables!F66+Multiple_Regression!$B$47*Dummy_Variables!G66+Multiple_Regression!$B$48*Dummy_Variables!H66+Multiple_Regression!$B$49*Dummy_Variables!I66+Multiple_Regression!$B$50*Dummy_Variables!J66+Multiple_Regression!$B$51*Dummy_Variables!K66+Multiple_Regression!$B$52*Dummy_Variables!L66+Multiple_Regression!$B$53*Dummy_Variables!M66+Multiple_Regression!$B$54*Dummy_Variables!N66</f>
        <v>572632.22229617357</v>
      </c>
      <c r="G66" s="13">
        <f t="shared" si="0"/>
        <v>43334.257703826413</v>
      </c>
      <c r="H66" s="13">
        <f t="shared" si="1"/>
        <v>43334.257703826413</v>
      </c>
    </row>
    <row r="67" spans="1:8" x14ac:dyDescent="0.35">
      <c r="A67" s="4" t="str">
        <f>Dummy_Variables!A67</f>
        <v>STR-1016</v>
      </c>
      <c r="B67" s="12">
        <f>Dummy_Variables!B67</f>
        <v>45717</v>
      </c>
      <c r="C67" s="4" t="str">
        <f>Dummy_Variables!C67</f>
        <v>South</v>
      </c>
      <c r="D67" s="4" t="str">
        <f>Dummy_Variables!D67</f>
        <v>High Street</v>
      </c>
      <c r="E67" s="13">
        <f>Dummy_Variables!P67</f>
        <v>572011.19999999995</v>
      </c>
      <c r="F67" s="13">
        <f>Multiple_Regression!$B$44+Multiple_Regression!$B$45*Dummy_Variables!E67+Multiple_Regression!$B$46*Dummy_Variables!F67+Multiple_Regression!$B$47*Dummy_Variables!G67+Multiple_Regression!$B$48*Dummy_Variables!H67+Multiple_Regression!$B$49*Dummy_Variables!I67+Multiple_Regression!$B$50*Dummy_Variables!J67+Multiple_Regression!$B$51*Dummy_Variables!K67+Multiple_Regression!$B$52*Dummy_Variables!L67+Multiple_Regression!$B$53*Dummy_Variables!M67+Multiple_Regression!$B$54*Dummy_Variables!N67</f>
        <v>573562.00079293596</v>
      </c>
      <c r="G67" s="13">
        <f t="shared" si="0"/>
        <v>-1550.8007929360028</v>
      </c>
      <c r="H67" s="13">
        <f t="shared" si="1"/>
        <v>1550.8007929360028</v>
      </c>
    </row>
    <row r="68" spans="1:8" x14ac:dyDescent="0.35">
      <c r="A68" s="4" t="str">
        <f>Dummy_Variables!A68</f>
        <v>STR-1016</v>
      </c>
      <c r="B68" s="12">
        <f>Dummy_Variables!B68</f>
        <v>45748</v>
      </c>
      <c r="C68" s="4" t="str">
        <f>Dummy_Variables!C68</f>
        <v>South</v>
      </c>
      <c r="D68" s="4" t="str">
        <f>Dummy_Variables!D68</f>
        <v>High Street</v>
      </c>
      <c r="E68" s="13">
        <f>Dummy_Variables!P68</f>
        <v>761860.19</v>
      </c>
      <c r="F68" s="13">
        <f>Multiple_Regression!$B$44+Multiple_Regression!$B$45*Dummy_Variables!E68+Multiple_Regression!$B$46*Dummy_Variables!F68+Multiple_Regression!$B$47*Dummy_Variables!G68+Multiple_Regression!$B$48*Dummy_Variables!H68+Multiple_Regression!$B$49*Dummy_Variables!I68+Multiple_Regression!$B$50*Dummy_Variables!J68+Multiple_Regression!$B$51*Dummy_Variables!K68+Multiple_Regression!$B$52*Dummy_Variables!L68+Multiple_Regression!$B$53*Dummy_Variables!M68+Multiple_Regression!$B$54*Dummy_Variables!N68</f>
        <v>721614.4729484428</v>
      </c>
      <c r="G68" s="13">
        <f t="shared" si="0"/>
        <v>40245.717051557149</v>
      </c>
      <c r="H68" s="13">
        <f t="shared" si="1"/>
        <v>40245.717051557149</v>
      </c>
    </row>
    <row r="69" spans="1:8" x14ac:dyDescent="0.35">
      <c r="A69" s="4" t="str">
        <f>Dummy_Variables!A69</f>
        <v>STR-1017</v>
      </c>
      <c r="B69" s="12">
        <f>Dummy_Variables!B69</f>
        <v>45658</v>
      </c>
      <c r="C69" s="4" t="str">
        <f>Dummy_Variables!C69</f>
        <v>West</v>
      </c>
      <c r="D69" s="4" t="str">
        <f>Dummy_Variables!D69</f>
        <v>High Street</v>
      </c>
      <c r="E69" s="13">
        <f>Dummy_Variables!P69</f>
        <v>784502.68</v>
      </c>
      <c r="F69" s="13">
        <f>Multiple_Regression!$B$44+Multiple_Regression!$B$45*Dummy_Variables!E69+Multiple_Regression!$B$46*Dummy_Variables!F69+Multiple_Regression!$B$47*Dummy_Variables!G69+Multiple_Regression!$B$48*Dummy_Variables!H69+Multiple_Regression!$B$49*Dummy_Variables!I69+Multiple_Regression!$B$50*Dummy_Variables!J69+Multiple_Regression!$B$51*Dummy_Variables!K69+Multiple_Regression!$B$52*Dummy_Variables!L69+Multiple_Regression!$B$53*Dummy_Variables!M69+Multiple_Regression!$B$54*Dummy_Variables!N69</f>
        <v>806547.69368308515</v>
      </c>
      <c r="G69" s="13">
        <f t="shared" ref="G69:G132" si="2">E69-F69</f>
        <v>-22045.013683085097</v>
      </c>
      <c r="H69" s="13">
        <f t="shared" ref="H69:H132" si="3">ABS(G69)</f>
        <v>22045.013683085097</v>
      </c>
    </row>
    <row r="70" spans="1:8" x14ac:dyDescent="0.35">
      <c r="A70" s="4" t="str">
        <f>Dummy_Variables!A70</f>
        <v>STR-1017</v>
      </c>
      <c r="B70" s="12">
        <f>Dummy_Variables!B70</f>
        <v>45689</v>
      </c>
      <c r="C70" s="4" t="str">
        <f>Dummy_Variables!C70</f>
        <v>West</v>
      </c>
      <c r="D70" s="4" t="str">
        <f>Dummy_Variables!D70</f>
        <v>High Street</v>
      </c>
      <c r="E70" s="13">
        <f>Dummy_Variables!P70</f>
        <v>717141.55</v>
      </c>
      <c r="F70" s="13">
        <f>Multiple_Regression!$B$44+Multiple_Regression!$B$45*Dummy_Variables!E70+Multiple_Regression!$B$46*Dummy_Variables!F70+Multiple_Regression!$B$47*Dummy_Variables!G70+Multiple_Regression!$B$48*Dummy_Variables!H70+Multiple_Regression!$B$49*Dummy_Variables!I70+Multiple_Regression!$B$50*Dummy_Variables!J70+Multiple_Regression!$B$51*Dummy_Variables!K70+Multiple_Regression!$B$52*Dummy_Variables!L70+Multiple_Regression!$B$53*Dummy_Variables!M70+Multiple_Regression!$B$54*Dummy_Variables!N70</f>
        <v>709911.96209591685</v>
      </c>
      <c r="G70" s="13">
        <f t="shared" si="2"/>
        <v>7229.5879040831933</v>
      </c>
      <c r="H70" s="13">
        <f t="shared" si="3"/>
        <v>7229.5879040831933</v>
      </c>
    </row>
    <row r="71" spans="1:8" x14ac:dyDescent="0.35">
      <c r="A71" s="4" t="str">
        <f>Dummy_Variables!A71</f>
        <v>STR-1017</v>
      </c>
      <c r="B71" s="12">
        <f>Dummy_Variables!B71</f>
        <v>45717</v>
      </c>
      <c r="C71" s="4" t="str">
        <f>Dummy_Variables!C71</f>
        <v>West</v>
      </c>
      <c r="D71" s="4" t="str">
        <f>Dummy_Variables!D71</f>
        <v>High Street</v>
      </c>
      <c r="E71" s="13">
        <f>Dummy_Variables!P71</f>
        <v>685379.08</v>
      </c>
      <c r="F71" s="13">
        <f>Multiple_Regression!$B$44+Multiple_Regression!$B$45*Dummy_Variables!E71+Multiple_Regression!$B$46*Dummy_Variables!F71+Multiple_Regression!$B$47*Dummy_Variables!G71+Multiple_Regression!$B$48*Dummy_Variables!H71+Multiple_Regression!$B$49*Dummy_Variables!I71+Multiple_Regression!$B$50*Dummy_Variables!J71+Multiple_Regression!$B$51*Dummy_Variables!K71+Multiple_Regression!$B$52*Dummy_Variables!L71+Multiple_Regression!$B$53*Dummy_Variables!M71+Multiple_Regression!$B$54*Dummy_Variables!N71</f>
        <v>803619.65500432847</v>
      </c>
      <c r="G71" s="13">
        <f t="shared" si="2"/>
        <v>-118240.57500432851</v>
      </c>
      <c r="H71" s="13">
        <f t="shared" si="3"/>
        <v>118240.57500432851</v>
      </c>
    </row>
    <row r="72" spans="1:8" x14ac:dyDescent="0.35">
      <c r="A72" s="4" t="str">
        <f>Dummy_Variables!A72</f>
        <v>STR-1017</v>
      </c>
      <c r="B72" s="12">
        <f>Dummy_Variables!B72</f>
        <v>45748</v>
      </c>
      <c r="C72" s="4" t="str">
        <f>Dummy_Variables!C72</f>
        <v>West</v>
      </c>
      <c r="D72" s="4" t="str">
        <f>Dummy_Variables!D72</f>
        <v>High Street</v>
      </c>
      <c r="E72" s="13">
        <f>Dummy_Variables!P72</f>
        <v>740496.65</v>
      </c>
      <c r="F72" s="13">
        <f>Multiple_Regression!$B$44+Multiple_Regression!$B$45*Dummy_Variables!E72+Multiple_Regression!$B$46*Dummy_Variables!F72+Multiple_Regression!$B$47*Dummy_Variables!G72+Multiple_Regression!$B$48*Dummy_Variables!H72+Multiple_Regression!$B$49*Dummy_Variables!I72+Multiple_Regression!$B$50*Dummy_Variables!J72+Multiple_Regression!$B$51*Dummy_Variables!K72+Multiple_Regression!$B$52*Dummy_Variables!L72+Multiple_Regression!$B$53*Dummy_Variables!M72+Multiple_Regression!$B$54*Dummy_Variables!N72</f>
        <v>736693.85480743018</v>
      </c>
      <c r="G72" s="13">
        <f t="shared" si="2"/>
        <v>3802.7951925698435</v>
      </c>
      <c r="H72" s="13">
        <f t="shared" si="3"/>
        <v>3802.7951925698435</v>
      </c>
    </row>
    <row r="73" spans="1:8" x14ac:dyDescent="0.35">
      <c r="A73" s="4" t="str">
        <f>Dummy_Variables!A73</f>
        <v>STR-1018</v>
      </c>
      <c r="B73" s="12">
        <f>Dummy_Variables!B73</f>
        <v>45658</v>
      </c>
      <c r="C73" s="4" t="str">
        <f>Dummy_Variables!C73</f>
        <v>East</v>
      </c>
      <c r="D73" s="4" t="str">
        <f>Dummy_Variables!D73</f>
        <v>High Street</v>
      </c>
      <c r="E73" s="13">
        <f>Dummy_Variables!P73</f>
        <v>661927.14</v>
      </c>
      <c r="F73" s="13">
        <f>Multiple_Regression!$B$44+Multiple_Regression!$B$45*Dummy_Variables!E73+Multiple_Regression!$B$46*Dummy_Variables!F73+Multiple_Regression!$B$47*Dummy_Variables!G73+Multiple_Regression!$B$48*Dummy_Variables!H73+Multiple_Regression!$B$49*Dummy_Variables!I73+Multiple_Regression!$B$50*Dummy_Variables!J73+Multiple_Regression!$B$51*Dummy_Variables!K73+Multiple_Regression!$B$52*Dummy_Variables!L73+Multiple_Regression!$B$53*Dummy_Variables!M73+Multiple_Regression!$B$54*Dummy_Variables!N73</f>
        <v>608228.53686770494</v>
      </c>
      <c r="G73" s="13">
        <f t="shared" si="2"/>
        <v>53698.603132295073</v>
      </c>
      <c r="H73" s="13">
        <f t="shared" si="3"/>
        <v>53698.603132295073</v>
      </c>
    </row>
    <row r="74" spans="1:8" x14ac:dyDescent="0.35">
      <c r="A74" s="4" t="str">
        <f>Dummy_Variables!A74</f>
        <v>STR-1018</v>
      </c>
      <c r="B74" s="12">
        <f>Dummy_Variables!B74</f>
        <v>45689</v>
      </c>
      <c r="C74" s="4" t="str">
        <f>Dummy_Variables!C74</f>
        <v>East</v>
      </c>
      <c r="D74" s="4" t="str">
        <f>Dummy_Variables!D74</f>
        <v>High Street</v>
      </c>
      <c r="E74" s="13">
        <f>Dummy_Variables!P74</f>
        <v>479050.5</v>
      </c>
      <c r="F74" s="13">
        <f>Multiple_Regression!$B$44+Multiple_Regression!$B$45*Dummy_Variables!E74+Multiple_Regression!$B$46*Dummy_Variables!F74+Multiple_Regression!$B$47*Dummy_Variables!G74+Multiple_Regression!$B$48*Dummy_Variables!H74+Multiple_Regression!$B$49*Dummy_Variables!I74+Multiple_Regression!$B$50*Dummy_Variables!J74+Multiple_Regression!$B$51*Dummy_Variables!K74+Multiple_Regression!$B$52*Dummy_Variables!L74+Multiple_Regression!$B$53*Dummy_Variables!M74+Multiple_Regression!$B$54*Dummy_Variables!N74</f>
        <v>506241.1261274807</v>
      </c>
      <c r="G74" s="13">
        <f t="shared" si="2"/>
        <v>-27190.626127480704</v>
      </c>
      <c r="H74" s="13">
        <f t="shared" si="3"/>
        <v>27190.626127480704</v>
      </c>
    </row>
    <row r="75" spans="1:8" x14ac:dyDescent="0.35">
      <c r="A75" s="4" t="str">
        <f>Dummy_Variables!A75</f>
        <v>STR-1018</v>
      </c>
      <c r="B75" s="12">
        <f>Dummy_Variables!B75</f>
        <v>45717</v>
      </c>
      <c r="C75" s="4" t="str">
        <f>Dummy_Variables!C75</f>
        <v>East</v>
      </c>
      <c r="D75" s="4" t="str">
        <f>Dummy_Variables!D75</f>
        <v>High Street</v>
      </c>
      <c r="E75" s="13">
        <f>Dummy_Variables!P75</f>
        <v>605023.87</v>
      </c>
      <c r="F75" s="13">
        <f>Multiple_Regression!$B$44+Multiple_Regression!$B$45*Dummy_Variables!E75+Multiple_Regression!$B$46*Dummy_Variables!F75+Multiple_Regression!$B$47*Dummy_Variables!G75+Multiple_Regression!$B$48*Dummy_Variables!H75+Multiple_Regression!$B$49*Dummy_Variables!I75+Multiple_Regression!$B$50*Dummy_Variables!J75+Multiple_Regression!$B$51*Dummy_Variables!K75+Multiple_Regression!$B$52*Dummy_Variables!L75+Multiple_Regression!$B$53*Dummy_Variables!M75+Multiple_Regression!$B$54*Dummy_Variables!N75</f>
        <v>601749.91534242267</v>
      </c>
      <c r="G75" s="13">
        <f t="shared" si="2"/>
        <v>3273.9546575773275</v>
      </c>
      <c r="H75" s="13">
        <f t="shared" si="3"/>
        <v>3273.9546575773275</v>
      </c>
    </row>
    <row r="76" spans="1:8" x14ac:dyDescent="0.35">
      <c r="A76" s="4" t="str">
        <f>Dummy_Variables!A76</f>
        <v>STR-1018</v>
      </c>
      <c r="B76" s="12">
        <f>Dummy_Variables!B76</f>
        <v>45748</v>
      </c>
      <c r="C76" s="4" t="str">
        <f>Dummy_Variables!C76</f>
        <v>East</v>
      </c>
      <c r="D76" s="4" t="str">
        <f>Dummy_Variables!D76</f>
        <v>High Street</v>
      </c>
      <c r="E76" s="13">
        <f>Dummy_Variables!P76</f>
        <v>674774.09</v>
      </c>
      <c r="F76" s="13">
        <f>Multiple_Regression!$B$44+Multiple_Regression!$B$45*Dummy_Variables!E76+Multiple_Regression!$B$46*Dummy_Variables!F76+Multiple_Regression!$B$47*Dummy_Variables!G76+Multiple_Regression!$B$48*Dummy_Variables!H76+Multiple_Regression!$B$49*Dummy_Variables!I76+Multiple_Regression!$B$50*Dummy_Variables!J76+Multiple_Regression!$B$51*Dummy_Variables!K76+Multiple_Regression!$B$52*Dummy_Variables!L76+Multiple_Regression!$B$53*Dummy_Variables!M76+Multiple_Regression!$B$54*Dummy_Variables!N76</f>
        <v>644050.31534498848</v>
      </c>
      <c r="G76" s="13">
        <f t="shared" si="2"/>
        <v>30723.774655011483</v>
      </c>
      <c r="H76" s="13">
        <f t="shared" si="3"/>
        <v>30723.774655011483</v>
      </c>
    </row>
    <row r="77" spans="1:8" x14ac:dyDescent="0.35">
      <c r="A77" s="4" t="str">
        <f>Dummy_Variables!A77</f>
        <v>STR-1019</v>
      </c>
      <c r="B77" s="12">
        <f>Dummy_Variables!B77</f>
        <v>45658</v>
      </c>
      <c r="C77" s="4" t="str">
        <f>Dummy_Variables!C77</f>
        <v>East</v>
      </c>
      <c r="D77" s="4" t="str">
        <f>Dummy_Variables!D77</f>
        <v>Residential</v>
      </c>
      <c r="E77" s="13">
        <f>Dummy_Variables!P77</f>
        <v>616069.41</v>
      </c>
      <c r="F77" s="13">
        <f>Multiple_Regression!$B$44+Multiple_Regression!$B$45*Dummy_Variables!E77+Multiple_Regression!$B$46*Dummy_Variables!F77+Multiple_Regression!$B$47*Dummy_Variables!G77+Multiple_Regression!$B$48*Dummy_Variables!H77+Multiple_Regression!$B$49*Dummy_Variables!I77+Multiple_Regression!$B$50*Dummy_Variables!J77+Multiple_Regression!$B$51*Dummy_Variables!K77+Multiple_Regression!$B$52*Dummy_Variables!L77+Multiple_Regression!$B$53*Dummy_Variables!M77+Multiple_Regression!$B$54*Dummy_Variables!N77</f>
        <v>594993.67286211881</v>
      </c>
      <c r="G77" s="13">
        <f t="shared" si="2"/>
        <v>21075.737137881224</v>
      </c>
      <c r="H77" s="13">
        <f t="shared" si="3"/>
        <v>21075.737137881224</v>
      </c>
    </row>
    <row r="78" spans="1:8" x14ac:dyDescent="0.35">
      <c r="A78" s="4" t="str">
        <f>Dummy_Variables!A78</f>
        <v>STR-1019</v>
      </c>
      <c r="B78" s="12">
        <f>Dummy_Variables!B78</f>
        <v>45689</v>
      </c>
      <c r="C78" s="4" t="str">
        <f>Dummy_Variables!C78</f>
        <v>East</v>
      </c>
      <c r="D78" s="4" t="str">
        <f>Dummy_Variables!D78</f>
        <v>Residential</v>
      </c>
      <c r="E78" s="13">
        <f>Dummy_Variables!P78</f>
        <v>630829.93999999994</v>
      </c>
      <c r="F78" s="13">
        <f>Multiple_Regression!$B$44+Multiple_Regression!$B$45*Dummy_Variables!E78+Multiple_Regression!$B$46*Dummy_Variables!F78+Multiple_Regression!$B$47*Dummy_Variables!G78+Multiple_Regression!$B$48*Dummy_Variables!H78+Multiple_Regression!$B$49*Dummy_Variables!I78+Multiple_Regression!$B$50*Dummy_Variables!J78+Multiple_Regression!$B$51*Dummy_Variables!K78+Multiple_Regression!$B$52*Dummy_Variables!L78+Multiple_Regression!$B$53*Dummy_Variables!M78+Multiple_Regression!$B$54*Dummy_Variables!N78</f>
        <v>687264.5389267304</v>
      </c>
      <c r="G78" s="13">
        <f t="shared" si="2"/>
        <v>-56434.598926730454</v>
      </c>
      <c r="H78" s="13">
        <f t="shared" si="3"/>
        <v>56434.598926730454</v>
      </c>
    </row>
    <row r="79" spans="1:8" x14ac:dyDescent="0.35">
      <c r="A79" s="4" t="str">
        <f>Dummy_Variables!A79</f>
        <v>STR-1019</v>
      </c>
      <c r="B79" s="12">
        <f>Dummy_Variables!B79</f>
        <v>45717</v>
      </c>
      <c r="C79" s="4" t="str">
        <f>Dummy_Variables!C79</f>
        <v>East</v>
      </c>
      <c r="D79" s="4" t="str">
        <f>Dummy_Variables!D79</f>
        <v>Residential</v>
      </c>
      <c r="E79" s="13">
        <f>Dummy_Variables!P79</f>
        <v>788087.68</v>
      </c>
      <c r="F79" s="13">
        <f>Multiple_Regression!$B$44+Multiple_Regression!$B$45*Dummy_Variables!E79+Multiple_Regression!$B$46*Dummy_Variables!F79+Multiple_Regression!$B$47*Dummy_Variables!G79+Multiple_Regression!$B$48*Dummy_Variables!H79+Multiple_Regression!$B$49*Dummy_Variables!I79+Multiple_Regression!$B$50*Dummy_Variables!J79+Multiple_Regression!$B$51*Dummy_Variables!K79+Multiple_Regression!$B$52*Dummy_Variables!L79+Multiple_Regression!$B$53*Dummy_Variables!M79+Multiple_Regression!$B$54*Dummy_Variables!N79</f>
        <v>727144.70444241422</v>
      </c>
      <c r="G79" s="13">
        <f t="shared" si="2"/>
        <v>60942.975557585829</v>
      </c>
      <c r="H79" s="13">
        <f t="shared" si="3"/>
        <v>60942.975557585829</v>
      </c>
    </row>
    <row r="80" spans="1:8" x14ac:dyDescent="0.35">
      <c r="A80" s="4" t="str">
        <f>Dummy_Variables!A80</f>
        <v>STR-1019</v>
      </c>
      <c r="B80" s="12">
        <f>Dummy_Variables!B80</f>
        <v>45748</v>
      </c>
      <c r="C80" s="4" t="str">
        <f>Dummy_Variables!C80</f>
        <v>East</v>
      </c>
      <c r="D80" s="4" t="str">
        <f>Dummy_Variables!D80</f>
        <v>Residential</v>
      </c>
      <c r="E80" s="13">
        <f>Dummy_Variables!P80</f>
        <v>680840.36</v>
      </c>
      <c r="F80" s="13">
        <f>Multiple_Regression!$B$44+Multiple_Regression!$B$45*Dummy_Variables!E80+Multiple_Regression!$B$46*Dummy_Variables!F80+Multiple_Regression!$B$47*Dummy_Variables!G80+Multiple_Regression!$B$48*Dummy_Variables!H80+Multiple_Regression!$B$49*Dummy_Variables!I80+Multiple_Regression!$B$50*Dummy_Variables!J80+Multiple_Regression!$B$51*Dummy_Variables!K80+Multiple_Regression!$B$52*Dummy_Variables!L80+Multiple_Regression!$B$53*Dummy_Variables!M80+Multiple_Regression!$B$54*Dummy_Variables!N80</f>
        <v>716192.1609952196</v>
      </c>
      <c r="G80" s="13">
        <f t="shared" si="2"/>
        <v>-35351.800995219615</v>
      </c>
      <c r="H80" s="13">
        <f t="shared" si="3"/>
        <v>35351.800995219615</v>
      </c>
    </row>
    <row r="81" spans="1:8" x14ac:dyDescent="0.35">
      <c r="A81" s="4" t="str">
        <f>Dummy_Variables!A81</f>
        <v>STR-1020</v>
      </c>
      <c r="B81" s="12">
        <f>Dummy_Variables!B81</f>
        <v>45658</v>
      </c>
      <c r="C81" s="4" t="str">
        <f>Dummy_Variables!C81</f>
        <v>South</v>
      </c>
      <c r="D81" s="4" t="str">
        <f>Dummy_Variables!D81</f>
        <v>High Street</v>
      </c>
      <c r="E81" s="13">
        <f>Dummy_Variables!P81</f>
        <v>643657.47</v>
      </c>
      <c r="F81" s="13">
        <f>Multiple_Regression!$B$44+Multiple_Regression!$B$45*Dummy_Variables!E81+Multiple_Regression!$B$46*Dummy_Variables!F81+Multiple_Regression!$B$47*Dummy_Variables!G81+Multiple_Regression!$B$48*Dummy_Variables!H81+Multiple_Regression!$B$49*Dummy_Variables!I81+Multiple_Regression!$B$50*Dummy_Variables!J81+Multiple_Regression!$B$51*Dummy_Variables!K81+Multiple_Regression!$B$52*Dummy_Variables!L81+Multiple_Regression!$B$53*Dummy_Variables!M81+Multiple_Regression!$B$54*Dummy_Variables!N81</f>
        <v>645897.09556176153</v>
      </c>
      <c r="G81" s="13">
        <f t="shared" si="2"/>
        <v>-2239.6255617615534</v>
      </c>
      <c r="H81" s="13">
        <f t="shared" si="3"/>
        <v>2239.6255617615534</v>
      </c>
    </row>
    <row r="82" spans="1:8" x14ac:dyDescent="0.35">
      <c r="A82" s="4" t="str">
        <f>Dummy_Variables!A82</f>
        <v>STR-1020</v>
      </c>
      <c r="B82" s="12">
        <f>Dummy_Variables!B82</f>
        <v>45689</v>
      </c>
      <c r="C82" s="4" t="str">
        <f>Dummy_Variables!C82</f>
        <v>South</v>
      </c>
      <c r="D82" s="4" t="str">
        <f>Dummy_Variables!D82</f>
        <v>High Street</v>
      </c>
      <c r="E82" s="13">
        <f>Dummy_Variables!P82</f>
        <v>691112.6</v>
      </c>
      <c r="F82" s="13">
        <f>Multiple_Regression!$B$44+Multiple_Regression!$B$45*Dummy_Variables!E82+Multiple_Regression!$B$46*Dummy_Variables!F82+Multiple_Regression!$B$47*Dummy_Variables!G82+Multiple_Regression!$B$48*Dummy_Variables!H82+Multiple_Regression!$B$49*Dummy_Variables!I82+Multiple_Regression!$B$50*Dummy_Variables!J82+Multiple_Regression!$B$51*Dummy_Variables!K82+Multiple_Regression!$B$52*Dummy_Variables!L82+Multiple_Regression!$B$53*Dummy_Variables!M82+Multiple_Regression!$B$54*Dummy_Variables!N82</f>
        <v>645169.38944016304</v>
      </c>
      <c r="G82" s="13">
        <f t="shared" si="2"/>
        <v>45943.210559836938</v>
      </c>
      <c r="H82" s="13">
        <f t="shared" si="3"/>
        <v>45943.210559836938</v>
      </c>
    </row>
    <row r="83" spans="1:8" x14ac:dyDescent="0.35">
      <c r="A83" s="4" t="str">
        <f>Dummy_Variables!A83</f>
        <v>STR-1020</v>
      </c>
      <c r="B83" s="12">
        <f>Dummy_Variables!B83</f>
        <v>45717</v>
      </c>
      <c r="C83" s="4" t="str">
        <f>Dummy_Variables!C83</f>
        <v>South</v>
      </c>
      <c r="D83" s="4" t="str">
        <f>Dummy_Variables!D83</f>
        <v>High Street</v>
      </c>
      <c r="E83" s="13">
        <f>Dummy_Variables!P83</f>
        <v>776922.17</v>
      </c>
      <c r="F83" s="13">
        <f>Multiple_Regression!$B$44+Multiple_Regression!$B$45*Dummy_Variables!E83+Multiple_Regression!$B$46*Dummy_Variables!F83+Multiple_Regression!$B$47*Dummy_Variables!G83+Multiple_Regression!$B$48*Dummy_Variables!H83+Multiple_Regression!$B$49*Dummy_Variables!I83+Multiple_Regression!$B$50*Dummy_Variables!J83+Multiple_Regression!$B$51*Dummy_Variables!K83+Multiple_Regression!$B$52*Dummy_Variables!L83+Multiple_Regression!$B$53*Dummy_Variables!M83+Multiple_Regression!$B$54*Dummy_Variables!N83</f>
        <v>720787.95431518997</v>
      </c>
      <c r="G83" s="13">
        <f t="shared" si="2"/>
        <v>56134.215684810071</v>
      </c>
      <c r="H83" s="13">
        <f t="shared" si="3"/>
        <v>56134.215684810071</v>
      </c>
    </row>
    <row r="84" spans="1:8" x14ac:dyDescent="0.35">
      <c r="A84" s="4" t="str">
        <f>Dummy_Variables!A84</f>
        <v>STR-1020</v>
      </c>
      <c r="B84" s="12">
        <f>Dummy_Variables!B84</f>
        <v>45748</v>
      </c>
      <c r="C84" s="4" t="str">
        <f>Dummy_Variables!C84</f>
        <v>South</v>
      </c>
      <c r="D84" s="4" t="str">
        <f>Dummy_Variables!D84</f>
        <v>High Street</v>
      </c>
      <c r="E84" s="13">
        <f>Dummy_Variables!P84</f>
        <v>636561.34</v>
      </c>
      <c r="F84" s="13">
        <f>Multiple_Regression!$B$44+Multiple_Regression!$B$45*Dummy_Variables!E84+Multiple_Regression!$B$46*Dummy_Variables!F84+Multiple_Regression!$B$47*Dummy_Variables!G84+Multiple_Regression!$B$48*Dummy_Variables!H84+Multiple_Regression!$B$49*Dummy_Variables!I84+Multiple_Regression!$B$50*Dummy_Variables!J84+Multiple_Regression!$B$51*Dummy_Variables!K84+Multiple_Regression!$B$52*Dummy_Variables!L84+Multiple_Regression!$B$53*Dummy_Variables!M84+Multiple_Regression!$B$54*Dummy_Variables!N84</f>
        <v>654901.15695602843</v>
      </c>
      <c r="G84" s="13">
        <f t="shared" si="2"/>
        <v>-18339.816956028459</v>
      </c>
      <c r="H84" s="13">
        <f t="shared" si="3"/>
        <v>18339.816956028459</v>
      </c>
    </row>
    <row r="85" spans="1:8" x14ac:dyDescent="0.35">
      <c r="A85" s="4" t="str">
        <f>Dummy_Variables!A85</f>
        <v>STR-1021</v>
      </c>
      <c r="B85" s="12">
        <f>Dummy_Variables!B85</f>
        <v>45658</v>
      </c>
      <c r="C85" s="4" t="str">
        <f>Dummy_Variables!C85</f>
        <v>West</v>
      </c>
      <c r="D85" s="4" t="str">
        <f>Dummy_Variables!D85</f>
        <v>Mall</v>
      </c>
      <c r="E85" s="13">
        <f>Dummy_Variables!P85</f>
        <v>621369.57999999996</v>
      </c>
      <c r="F85" s="13">
        <f>Multiple_Regression!$B$44+Multiple_Regression!$B$45*Dummy_Variables!E85+Multiple_Regression!$B$46*Dummy_Variables!F85+Multiple_Regression!$B$47*Dummy_Variables!G85+Multiple_Regression!$B$48*Dummy_Variables!H85+Multiple_Regression!$B$49*Dummy_Variables!I85+Multiple_Regression!$B$50*Dummy_Variables!J85+Multiple_Regression!$B$51*Dummy_Variables!K85+Multiple_Regression!$B$52*Dummy_Variables!L85+Multiple_Regression!$B$53*Dummy_Variables!M85+Multiple_Regression!$B$54*Dummy_Variables!N85</f>
        <v>647879.36857168248</v>
      </c>
      <c r="G85" s="13">
        <f t="shared" si="2"/>
        <v>-26509.788571682526</v>
      </c>
      <c r="H85" s="13">
        <f t="shared" si="3"/>
        <v>26509.788571682526</v>
      </c>
    </row>
    <row r="86" spans="1:8" x14ac:dyDescent="0.35">
      <c r="A86" s="4" t="str">
        <f>Dummy_Variables!A86</f>
        <v>STR-1021</v>
      </c>
      <c r="B86" s="12">
        <f>Dummy_Variables!B86</f>
        <v>45689</v>
      </c>
      <c r="C86" s="4" t="str">
        <f>Dummy_Variables!C86</f>
        <v>West</v>
      </c>
      <c r="D86" s="4" t="str">
        <f>Dummy_Variables!D86</f>
        <v>Mall</v>
      </c>
      <c r="E86" s="13">
        <f>Dummy_Variables!P86</f>
        <v>682208.01</v>
      </c>
      <c r="F86" s="13">
        <f>Multiple_Regression!$B$44+Multiple_Regression!$B$45*Dummy_Variables!E86+Multiple_Regression!$B$46*Dummy_Variables!F86+Multiple_Regression!$B$47*Dummy_Variables!G86+Multiple_Regression!$B$48*Dummy_Variables!H86+Multiple_Regression!$B$49*Dummy_Variables!I86+Multiple_Regression!$B$50*Dummy_Variables!J86+Multiple_Regression!$B$51*Dummy_Variables!K86+Multiple_Regression!$B$52*Dummy_Variables!L86+Multiple_Regression!$B$53*Dummy_Variables!M86+Multiple_Regression!$B$54*Dummy_Variables!N86</f>
        <v>644018.61023475404</v>
      </c>
      <c r="G86" s="13">
        <f t="shared" si="2"/>
        <v>38189.399765245966</v>
      </c>
      <c r="H86" s="13">
        <f t="shared" si="3"/>
        <v>38189.399765245966</v>
      </c>
    </row>
    <row r="87" spans="1:8" x14ac:dyDescent="0.35">
      <c r="A87" s="4" t="str">
        <f>Dummy_Variables!A87</f>
        <v>STR-1021</v>
      </c>
      <c r="B87" s="12">
        <f>Dummy_Variables!B87</f>
        <v>45717</v>
      </c>
      <c r="C87" s="4" t="str">
        <f>Dummy_Variables!C87</f>
        <v>West</v>
      </c>
      <c r="D87" s="4" t="str">
        <f>Dummy_Variables!D87</f>
        <v>Mall</v>
      </c>
      <c r="E87" s="13">
        <f>Dummy_Variables!P87</f>
        <v>727241.86</v>
      </c>
      <c r="F87" s="13">
        <f>Multiple_Regression!$B$44+Multiple_Regression!$B$45*Dummy_Variables!E87+Multiple_Regression!$B$46*Dummy_Variables!F87+Multiple_Regression!$B$47*Dummy_Variables!G87+Multiple_Regression!$B$48*Dummy_Variables!H87+Multiple_Regression!$B$49*Dummy_Variables!I87+Multiple_Regression!$B$50*Dummy_Variables!J87+Multiple_Regression!$B$51*Dummy_Variables!K87+Multiple_Regression!$B$52*Dummy_Variables!L87+Multiple_Regression!$B$53*Dummy_Variables!M87+Multiple_Regression!$B$54*Dummy_Variables!N87</f>
        <v>659444.34894248808</v>
      </c>
      <c r="G87" s="13">
        <f t="shared" si="2"/>
        <v>67797.511057511903</v>
      </c>
      <c r="H87" s="13">
        <f t="shared" si="3"/>
        <v>67797.511057511903</v>
      </c>
    </row>
    <row r="88" spans="1:8" x14ac:dyDescent="0.35">
      <c r="A88" s="4" t="str">
        <f>Dummy_Variables!A88</f>
        <v>STR-1021</v>
      </c>
      <c r="B88" s="12">
        <f>Dummy_Variables!B88</f>
        <v>45748</v>
      </c>
      <c r="C88" s="4" t="str">
        <f>Dummy_Variables!C88</f>
        <v>West</v>
      </c>
      <c r="D88" s="4" t="str">
        <f>Dummy_Variables!D88</f>
        <v>Mall</v>
      </c>
      <c r="E88" s="13">
        <f>Dummy_Variables!P88</f>
        <v>569100.78</v>
      </c>
      <c r="F88" s="13">
        <f>Multiple_Regression!$B$44+Multiple_Regression!$B$45*Dummy_Variables!E88+Multiple_Regression!$B$46*Dummy_Variables!F88+Multiple_Regression!$B$47*Dummy_Variables!G88+Multiple_Regression!$B$48*Dummy_Variables!H88+Multiple_Regression!$B$49*Dummy_Variables!I88+Multiple_Regression!$B$50*Dummy_Variables!J88+Multiple_Regression!$B$51*Dummy_Variables!K88+Multiple_Regression!$B$52*Dummy_Variables!L88+Multiple_Regression!$B$53*Dummy_Variables!M88+Multiple_Regression!$B$54*Dummy_Variables!N88</f>
        <v>570188.04047923151</v>
      </c>
      <c r="G88" s="13">
        <f t="shared" si="2"/>
        <v>-1087.2604792314814</v>
      </c>
      <c r="H88" s="13">
        <f t="shared" si="3"/>
        <v>1087.2604792314814</v>
      </c>
    </row>
    <row r="89" spans="1:8" x14ac:dyDescent="0.35">
      <c r="A89" s="4" t="str">
        <f>Dummy_Variables!A89</f>
        <v>STR-1022</v>
      </c>
      <c r="B89" s="12">
        <f>Dummy_Variables!B89</f>
        <v>45658</v>
      </c>
      <c r="C89" s="4" t="str">
        <f>Dummy_Variables!C89</f>
        <v>West</v>
      </c>
      <c r="D89" s="4" t="str">
        <f>Dummy_Variables!D89</f>
        <v>High Street</v>
      </c>
      <c r="E89" s="13">
        <f>Dummy_Variables!P89</f>
        <v>574436.29</v>
      </c>
      <c r="F89" s="13">
        <f>Multiple_Regression!$B$44+Multiple_Regression!$B$45*Dummy_Variables!E89+Multiple_Regression!$B$46*Dummy_Variables!F89+Multiple_Regression!$B$47*Dummy_Variables!G89+Multiple_Regression!$B$48*Dummy_Variables!H89+Multiple_Regression!$B$49*Dummy_Variables!I89+Multiple_Regression!$B$50*Dummy_Variables!J89+Multiple_Regression!$B$51*Dummy_Variables!K89+Multiple_Regression!$B$52*Dummy_Variables!L89+Multiple_Regression!$B$53*Dummy_Variables!M89+Multiple_Regression!$B$54*Dummy_Variables!N89</f>
        <v>557419.24582847708</v>
      </c>
      <c r="G89" s="13">
        <f t="shared" si="2"/>
        <v>17017.044171522954</v>
      </c>
      <c r="H89" s="13">
        <f t="shared" si="3"/>
        <v>17017.044171522954</v>
      </c>
    </row>
    <row r="90" spans="1:8" x14ac:dyDescent="0.35">
      <c r="A90" s="4" t="str">
        <f>Dummy_Variables!A90</f>
        <v>STR-1022</v>
      </c>
      <c r="B90" s="12">
        <f>Dummy_Variables!B90</f>
        <v>45689</v>
      </c>
      <c r="C90" s="4" t="str">
        <f>Dummy_Variables!C90</f>
        <v>West</v>
      </c>
      <c r="D90" s="4" t="str">
        <f>Dummy_Variables!D90</f>
        <v>High Street</v>
      </c>
      <c r="E90" s="13">
        <f>Dummy_Variables!P90</f>
        <v>611766.72</v>
      </c>
      <c r="F90" s="13">
        <f>Multiple_Regression!$B$44+Multiple_Regression!$B$45*Dummy_Variables!E90+Multiple_Regression!$B$46*Dummy_Variables!F90+Multiple_Regression!$B$47*Dummy_Variables!G90+Multiple_Regression!$B$48*Dummy_Variables!H90+Multiple_Regression!$B$49*Dummy_Variables!I90+Multiple_Regression!$B$50*Dummy_Variables!J90+Multiple_Regression!$B$51*Dummy_Variables!K90+Multiple_Regression!$B$52*Dummy_Variables!L90+Multiple_Regression!$B$53*Dummy_Variables!M90+Multiple_Regression!$B$54*Dummy_Variables!N90</f>
        <v>634832.60428326484</v>
      </c>
      <c r="G90" s="13">
        <f t="shared" si="2"/>
        <v>-23065.884283264866</v>
      </c>
      <c r="H90" s="13">
        <f t="shared" si="3"/>
        <v>23065.884283264866</v>
      </c>
    </row>
    <row r="91" spans="1:8" x14ac:dyDescent="0.35">
      <c r="A91" s="4" t="str">
        <f>Dummy_Variables!A91</f>
        <v>STR-1022</v>
      </c>
      <c r="B91" s="12">
        <f>Dummy_Variables!B91</f>
        <v>45717</v>
      </c>
      <c r="C91" s="4" t="str">
        <f>Dummy_Variables!C91</f>
        <v>West</v>
      </c>
      <c r="D91" s="4" t="str">
        <f>Dummy_Variables!D91</f>
        <v>High Street</v>
      </c>
      <c r="E91" s="13">
        <f>Dummy_Variables!P91</f>
        <v>614596.31999999995</v>
      </c>
      <c r="F91" s="13">
        <f>Multiple_Regression!$B$44+Multiple_Regression!$B$45*Dummy_Variables!E91+Multiple_Regression!$B$46*Dummy_Variables!F91+Multiple_Regression!$B$47*Dummy_Variables!G91+Multiple_Regression!$B$48*Dummy_Variables!H91+Multiple_Regression!$B$49*Dummy_Variables!I91+Multiple_Regression!$B$50*Dummy_Variables!J91+Multiple_Regression!$B$51*Dummy_Variables!K91+Multiple_Regression!$B$52*Dummy_Variables!L91+Multiple_Regression!$B$53*Dummy_Variables!M91+Multiple_Regression!$B$54*Dummy_Variables!N91</f>
        <v>588421.64485597063</v>
      </c>
      <c r="G91" s="13">
        <f t="shared" si="2"/>
        <v>26174.675144029316</v>
      </c>
      <c r="H91" s="13">
        <f t="shared" si="3"/>
        <v>26174.675144029316</v>
      </c>
    </row>
    <row r="92" spans="1:8" x14ac:dyDescent="0.35">
      <c r="A92" s="4" t="str">
        <f>Dummy_Variables!A92</f>
        <v>STR-1022</v>
      </c>
      <c r="B92" s="12">
        <f>Dummy_Variables!B92</f>
        <v>45748</v>
      </c>
      <c r="C92" s="4" t="str">
        <f>Dummy_Variables!C92</f>
        <v>West</v>
      </c>
      <c r="D92" s="4" t="str">
        <f>Dummy_Variables!D92</f>
        <v>High Street</v>
      </c>
      <c r="E92" s="13">
        <f>Dummy_Variables!P92</f>
        <v>450711.92</v>
      </c>
      <c r="F92" s="13">
        <f>Multiple_Regression!$B$44+Multiple_Regression!$B$45*Dummy_Variables!E92+Multiple_Regression!$B$46*Dummy_Variables!F92+Multiple_Regression!$B$47*Dummy_Variables!G92+Multiple_Regression!$B$48*Dummy_Variables!H92+Multiple_Regression!$B$49*Dummy_Variables!I92+Multiple_Regression!$B$50*Dummy_Variables!J92+Multiple_Regression!$B$51*Dummy_Variables!K92+Multiple_Regression!$B$52*Dummy_Variables!L92+Multiple_Regression!$B$53*Dummy_Variables!M92+Multiple_Regression!$B$54*Dummy_Variables!N92</f>
        <v>458797.55442783894</v>
      </c>
      <c r="G92" s="13">
        <f t="shared" si="2"/>
        <v>-8085.6344278389588</v>
      </c>
      <c r="H92" s="13">
        <f t="shared" si="3"/>
        <v>8085.6344278389588</v>
      </c>
    </row>
    <row r="93" spans="1:8" x14ac:dyDescent="0.35">
      <c r="A93" s="4" t="str">
        <f>Dummy_Variables!A93</f>
        <v>STR-1023</v>
      </c>
      <c r="B93" s="12">
        <f>Dummy_Variables!B93</f>
        <v>45658</v>
      </c>
      <c r="C93" s="4" t="str">
        <f>Dummy_Variables!C93</f>
        <v>South</v>
      </c>
      <c r="D93" s="4" t="str">
        <f>Dummy_Variables!D93</f>
        <v>Mall</v>
      </c>
      <c r="E93" s="13">
        <f>Dummy_Variables!P93</f>
        <v>711213.46</v>
      </c>
      <c r="F93" s="13">
        <f>Multiple_Regression!$B$44+Multiple_Regression!$B$45*Dummy_Variables!E93+Multiple_Regression!$B$46*Dummy_Variables!F93+Multiple_Regression!$B$47*Dummy_Variables!G93+Multiple_Regression!$B$48*Dummy_Variables!H93+Multiple_Regression!$B$49*Dummy_Variables!I93+Multiple_Regression!$B$50*Dummy_Variables!J93+Multiple_Regression!$B$51*Dummy_Variables!K93+Multiple_Regression!$B$52*Dummy_Variables!L93+Multiple_Regression!$B$53*Dummy_Variables!M93+Multiple_Regression!$B$54*Dummy_Variables!N93</f>
        <v>684504.96028175461</v>
      </c>
      <c r="G93" s="13">
        <f t="shared" si="2"/>
        <v>26708.499718245352</v>
      </c>
      <c r="H93" s="13">
        <f t="shared" si="3"/>
        <v>26708.499718245352</v>
      </c>
    </row>
    <row r="94" spans="1:8" x14ac:dyDescent="0.35">
      <c r="A94" s="4" t="str">
        <f>Dummy_Variables!A94</f>
        <v>STR-1023</v>
      </c>
      <c r="B94" s="12">
        <f>Dummy_Variables!B94</f>
        <v>45689</v>
      </c>
      <c r="C94" s="4" t="str">
        <f>Dummy_Variables!C94</f>
        <v>South</v>
      </c>
      <c r="D94" s="4" t="str">
        <f>Dummy_Variables!D94</f>
        <v>Mall</v>
      </c>
      <c r="E94" s="13">
        <f>Dummy_Variables!P94</f>
        <v>627171.9</v>
      </c>
      <c r="F94" s="13">
        <f>Multiple_Regression!$B$44+Multiple_Regression!$B$45*Dummy_Variables!E94+Multiple_Regression!$B$46*Dummy_Variables!F94+Multiple_Regression!$B$47*Dummy_Variables!G94+Multiple_Regression!$B$48*Dummy_Variables!H94+Multiple_Regression!$B$49*Dummy_Variables!I94+Multiple_Regression!$B$50*Dummy_Variables!J94+Multiple_Regression!$B$51*Dummy_Variables!K94+Multiple_Regression!$B$52*Dummy_Variables!L94+Multiple_Regression!$B$53*Dummy_Variables!M94+Multiple_Regression!$B$54*Dummy_Variables!N94</f>
        <v>765254.56196536392</v>
      </c>
      <c r="G94" s="13">
        <f t="shared" si="2"/>
        <v>-138082.66196536389</v>
      </c>
      <c r="H94" s="13">
        <f t="shared" si="3"/>
        <v>138082.66196536389</v>
      </c>
    </row>
    <row r="95" spans="1:8" x14ac:dyDescent="0.35">
      <c r="A95" s="4" t="str">
        <f>Dummy_Variables!A95</f>
        <v>STR-1023</v>
      </c>
      <c r="B95" s="12">
        <f>Dummy_Variables!B95</f>
        <v>45717</v>
      </c>
      <c r="C95" s="4" t="str">
        <f>Dummy_Variables!C95</f>
        <v>South</v>
      </c>
      <c r="D95" s="4" t="str">
        <f>Dummy_Variables!D95</f>
        <v>Mall</v>
      </c>
      <c r="E95" s="13">
        <f>Dummy_Variables!P95</f>
        <v>739852.58</v>
      </c>
      <c r="F95" s="13">
        <f>Multiple_Regression!$B$44+Multiple_Regression!$B$45*Dummy_Variables!E95+Multiple_Regression!$B$46*Dummy_Variables!F95+Multiple_Regression!$B$47*Dummy_Variables!G95+Multiple_Regression!$B$48*Dummy_Variables!H95+Multiple_Regression!$B$49*Dummy_Variables!I95+Multiple_Regression!$B$50*Dummy_Variables!J95+Multiple_Regression!$B$51*Dummy_Variables!K95+Multiple_Regression!$B$52*Dummy_Variables!L95+Multiple_Regression!$B$53*Dummy_Variables!M95+Multiple_Regression!$B$54*Dummy_Variables!N95</f>
        <v>724642.97350143827</v>
      </c>
      <c r="G95" s="13">
        <f t="shared" si="2"/>
        <v>15209.606498561683</v>
      </c>
      <c r="H95" s="13">
        <f t="shared" si="3"/>
        <v>15209.606498561683</v>
      </c>
    </row>
    <row r="96" spans="1:8" x14ac:dyDescent="0.35">
      <c r="A96" s="4" t="str">
        <f>Dummy_Variables!A96</f>
        <v>STR-1023</v>
      </c>
      <c r="B96" s="12">
        <f>Dummy_Variables!B96</f>
        <v>45748</v>
      </c>
      <c r="C96" s="4" t="str">
        <f>Dummy_Variables!C96</f>
        <v>South</v>
      </c>
      <c r="D96" s="4" t="str">
        <f>Dummy_Variables!D96</f>
        <v>Mall</v>
      </c>
      <c r="E96" s="13">
        <f>Dummy_Variables!P96</f>
        <v>586307.22</v>
      </c>
      <c r="F96" s="13">
        <f>Multiple_Regression!$B$44+Multiple_Regression!$B$45*Dummy_Variables!E96+Multiple_Regression!$B$46*Dummy_Variables!F96+Multiple_Regression!$B$47*Dummy_Variables!G96+Multiple_Regression!$B$48*Dummy_Variables!H96+Multiple_Regression!$B$49*Dummy_Variables!I96+Multiple_Regression!$B$50*Dummy_Variables!J96+Multiple_Regression!$B$51*Dummy_Variables!K96+Multiple_Regression!$B$52*Dummy_Variables!L96+Multiple_Regression!$B$53*Dummy_Variables!M96+Multiple_Regression!$B$54*Dummy_Variables!N96</f>
        <v>575828.02966945653</v>
      </c>
      <c r="G96" s="13">
        <f t="shared" si="2"/>
        <v>10479.190330543439</v>
      </c>
      <c r="H96" s="13">
        <f t="shared" si="3"/>
        <v>10479.190330543439</v>
      </c>
    </row>
    <row r="97" spans="1:8" x14ac:dyDescent="0.35">
      <c r="A97" s="4" t="str">
        <f>Dummy_Variables!A97</f>
        <v>STR-1024</v>
      </c>
      <c r="B97" s="12">
        <f>Dummy_Variables!B97</f>
        <v>45658</v>
      </c>
      <c r="C97" s="4" t="str">
        <f>Dummy_Variables!C97</f>
        <v>West</v>
      </c>
      <c r="D97" s="4" t="str">
        <f>Dummy_Variables!D97</f>
        <v>Residential</v>
      </c>
      <c r="E97" s="13">
        <f>Dummy_Variables!P97</f>
        <v>585937.48</v>
      </c>
      <c r="F97" s="13">
        <f>Multiple_Regression!$B$44+Multiple_Regression!$B$45*Dummy_Variables!E97+Multiple_Regression!$B$46*Dummy_Variables!F97+Multiple_Regression!$B$47*Dummy_Variables!G97+Multiple_Regression!$B$48*Dummy_Variables!H97+Multiple_Regression!$B$49*Dummy_Variables!I97+Multiple_Regression!$B$50*Dummy_Variables!J97+Multiple_Regression!$B$51*Dummy_Variables!K97+Multiple_Regression!$B$52*Dummy_Variables!L97+Multiple_Regression!$B$53*Dummy_Variables!M97+Multiple_Regression!$B$54*Dummy_Variables!N97</f>
        <v>589136.44047883851</v>
      </c>
      <c r="G97" s="13">
        <f t="shared" si="2"/>
        <v>-3198.9604788385332</v>
      </c>
      <c r="H97" s="13">
        <f t="shared" si="3"/>
        <v>3198.9604788385332</v>
      </c>
    </row>
    <row r="98" spans="1:8" x14ac:dyDescent="0.35">
      <c r="A98" s="4" t="str">
        <f>Dummy_Variables!A98</f>
        <v>STR-1024</v>
      </c>
      <c r="B98" s="12">
        <f>Dummy_Variables!B98</f>
        <v>45689</v>
      </c>
      <c r="C98" s="4" t="str">
        <f>Dummy_Variables!C98</f>
        <v>West</v>
      </c>
      <c r="D98" s="4" t="str">
        <f>Dummy_Variables!D98</f>
        <v>Residential</v>
      </c>
      <c r="E98" s="13">
        <f>Dummy_Variables!P98</f>
        <v>753473.55</v>
      </c>
      <c r="F98" s="13">
        <f>Multiple_Regression!$B$44+Multiple_Regression!$B$45*Dummy_Variables!E98+Multiple_Regression!$B$46*Dummy_Variables!F98+Multiple_Regression!$B$47*Dummy_Variables!G98+Multiple_Regression!$B$48*Dummy_Variables!H98+Multiple_Regression!$B$49*Dummy_Variables!I98+Multiple_Regression!$B$50*Dummy_Variables!J98+Multiple_Regression!$B$51*Dummy_Variables!K98+Multiple_Regression!$B$52*Dummy_Variables!L98+Multiple_Regression!$B$53*Dummy_Variables!M98+Multiple_Regression!$B$54*Dummy_Variables!N98</f>
        <v>701877.56238593697</v>
      </c>
      <c r="G98" s="13">
        <f t="shared" si="2"/>
        <v>51595.98761406308</v>
      </c>
      <c r="H98" s="13">
        <f t="shared" si="3"/>
        <v>51595.98761406308</v>
      </c>
    </row>
    <row r="99" spans="1:8" x14ac:dyDescent="0.35">
      <c r="A99" s="4" t="str">
        <f>Dummy_Variables!A99</f>
        <v>STR-1024</v>
      </c>
      <c r="B99" s="12">
        <f>Dummy_Variables!B99</f>
        <v>45717</v>
      </c>
      <c r="C99" s="4" t="str">
        <f>Dummy_Variables!C99</f>
        <v>West</v>
      </c>
      <c r="D99" s="4" t="str">
        <f>Dummy_Variables!D99</f>
        <v>Residential</v>
      </c>
      <c r="E99" s="13">
        <f>Dummy_Variables!P99</f>
        <v>838250.32</v>
      </c>
      <c r="F99" s="13">
        <f>Multiple_Regression!$B$44+Multiple_Regression!$B$45*Dummy_Variables!E99+Multiple_Regression!$B$46*Dummy_Variables!F99+Multiple_Regression!$B$47*Dummy_Variables!G99+Multiple_Regression!$B$48*Dummy_Variables!H99+Multiple_Regression!$B$49*Dummy_Variables!I99+Multiple_Regression!$B$50*Dummy_Variables!J99+Multiple_Regression!$B$51*Dummy_Variables!K99+Multiple_Regression!$B$52*Dummy_Variables!L99+Multiple_Regression!$B$53*Dummy_Variables!M99+Multiple_Regression!$B$54*Dummy_Variables!N99</f>
        <v>780844.33510650287</v>
      </c>
      <c r="G99" s="13">
        <f t="shared" si="2"/>
        <v>57405.98489349708</v>
      </c>
      <c r="H99" s="13">
        <f t="shared" si="3"/>
        <v>57405.98489349708</v>
      </c>
    </row>
    <row r="100" spans="1:8" x14ac:dyDescent="0.35">
      <c r="A100" s="4" t="str">
        <f>Dummy_Variables!A100</f>
        <v>STR-1024</v>
      </c>
      <c r="B100" s="12">
        <f>Dummy_Variables!B100</f>
        <v>45748</v>
      </c>
      <c r="C100" s="4" t="str">
        <f>Dummy_Variables!C100</f>
        <v>West</v>
      </c>
      <c r="D100" s="4" t="str">
        <f>Dummy_Variables!D100</f>
        <v>Residential</v>
      </c>
      <c r="E100" s="13">
        <f>Dummy_Variables!P100</f>
        <v>607898.12</v>
      </c>
      <c r="F100" s="13">
        <f>Multiple_Regression!$B$44+Multiple_Regression!$B$45*Dummy_Variables!E100+Multiple_Regression!$B$46*Dummy_Variables!F100+Multiple_Regression!$B$47*Dummy_Variables!G100+Multiple_Regression!$B$48*Dummy_Variables!H100+Multiple_Regression!$B$49*Dummy_Variables!I100+Multiple_Regression!$B$50*Dummy_Variables!J100+Multiple_Regression!$B$51*Dummy_Variables!K100+Multiple_Regression!$B$52*Dummy_Variables!L100+Multiple_Regression!$B$53*Dummy_Variables!M100+Multiple_Regression!$B$54*Dummy_Variables!N100</f>
        <v>611282.45079533127</v>
      </c>
      <c r="G100" s="13">
        <f t="shared" si="2"/>
        <v>-3384.330795331276</v>
      </c>
      <c r="H100" s="13">
        <f t="shared" si="3"/>
        <v>3384.330795331276</v>
      </c>
    </row>
    <row r="101" spans="1:8" x14ac:dyDescent="0.35">
      <c r="A101" s="4" t="str">
        <f>Dummy_Variables!A101</f>
        <v>STR-1025</v>
      </c>
      <c r="B101" s="12">
        <f>Dummy_Variables!B101</f>
        <v>45658</v>
      </c>
      <c r="C101" s="4" t="str">
        <f>Dummy_Variables!C101</f>
        <v>West</v>
      </c>
      <c r="D101" s="4" t="str">
        <f>Dummy_Variables!D101</f>
        <v>Mall</v>
      </c>
      <c r="E101" s="13">
        <f>Dummy_Variables!P101</f>
        <v>691113.62</v>
      </c>
      <c r="F101" s="13">
        <f>Multiple_Regression!$B$44+Multiple_Regression!$B$45*Dummy_Variables!E101+Multiple_Regression!$B$46*Dummy_Variables!F101+Multiple_Regression!$B$47*Dummy_Variables!G101+Multiple_Regression!$B$48*Dummy_Variables!H101+Multiple_Regression!$B$49*Dummy_Variables!I101+Multiple_Regression!$B$50*Dummy_Variables!J101+Multiple_Regression!$B$51*Dummy_Variables!K101+Multiple_Regression!$B$52*Dummy_Variables!L101+Multiple_Regression!$B$53*Dummy_Variables!M101+Multiple_Regression!$B$54*Dummy_Variables!N101</f>
        <v>658021.94245578325</v>
      </c>
      <c r="G101" s="13">
        <f t="shared" si="2"/>
        <v>33091.677544216742</v>
      </c>
      <c r="H101" s="13">
        <f t="shared" si="3"/>
        <v>33091.677544216742</v>
      </c>
    </row>
    <row r="102" spans="1:8" x14ac:dyDescent="0.35">
      <c r="A102" s="4" t="str">
        <f>Dummy_Variables!A102</f>
        <v>STR-1025</v>
      </c>
      <c r="B102" s="12">
        <f>Dummy_Variables!B102</f>
        <v>45689</v>
      </c>
      <c r="C102" s="4" t="str">
        <f>Dummy_Variables!C102</f>
        <v>West</v>
      </c>
      <c r="D102" s="4" t="str">
        <f>Dummy_Variables!D102</f>
        <v>Mall</v>
      </c>
      <c r="E102" s="13">
        <f>Dummy_Variables!P102</f>
        <v>735509.4</v>
      </c>
      <c r="F102" s="13">
        <f>Multiple_Regression!$B$44+Multiple_Regression!$B$45*Dummy_Variables!E102+Multiple_Regression!$B$46*Dummy_Variables!F102+Multiple_Regression!$B$47*Dummy_Variables!G102+Multiple_Regression!$B$48*Dummy_Variables!H102+Multiple_Regression!$B$49*Dummy_Variables!I102+Multiple_Regression!$B$50*Dummy_Variables!J102+Multiple_Regression!$B$51*Dummy_Variables!K102+Multiple_Regression!$B$52*Dummy_Variables!L102+Multiple_Regression!$B$53*Dummy_Variables!M102+Multiple_Regression!$B$54*Dummy_Variables!N102</f>
        <v>656431.85112058045</v>
      </c>
      <c r="G102" s="13">
        <f t="shared" si="2"/>
        <v>79077.54887941957</v>
      </c>
      <c r="H102" s="13">
        <f t="shared" si="3"/>
        <v>79077.54887941957</v>
      </c>
    </row>
    <row r="103" spans="1:8" x14ac:dyDescent="0.35">
      <c r="A103" s="4" t="str">
        <f>Dummy_Variables!A103</f>
        <v>STR-1025</v>
      </c>
      <c r="B103" s="12">
        <f>Dummy_Variables!B103</f>
        <v>45717</v>
      </c>
      <c r="C103" s="4" t="str">
        <f>Dummy_Variables!C103</f>
        <v>West</v>
      </c>
      <c r="D103" s="4" t="str">
        <f>Dummy_Variables!D103</f>
        <v>Mall</v>
      </c>
      <c r="E103" s="13">
        <f>Dummy_Variables!P103</f>
        <v>605775.32999999996</v>
      </c>
      <c r="F103" s="13">
        <f>Multiple_Regression!$B$44+Multiple_Regression!$B$45*Dummy_Variables!E103+Multiple_Regression!$B$46*Dummy_Variables!F103+Multiple_Regression!$B$47*Dummy_Variables!G103+Multiple_Regression!$B$48*Dummy_Variables!H103+Multiple_Regression!$B$49*Dummy_Variables!I103+Multiple_Regression!$B$50*Dummy_Variables!J103+Multiple_Regression!$B$51*Dummy_Variables!K103+Multiple_Regression!$B$52*Dummy_Variables!L103+Multiple_Regression!$B$53*Dummy_Variables!M103+Multiple_Regression!$B$54*Dummy_Variables!N103</f>
        <v>623445.63679587131</v>
      </c>
      <c r="G103" s="13">
        <f t="shared" si="2"/>
        <v>-17670.306795871351</v>
      </c>
      <c r="H103" s="13">
        <f t="shared" si="3"/>
        <v>17670.306795871351</v>
      </c>
    </row>
    <row r="104" spans="1:8" x14ac:dyDescent="0.35">
      <c r="A104" s="4" t="str">
        <f>Dummy_Variables!A104</f>
        <v>STR-1025</v>
      </c>
      <c r="B104" s="12">
        <f>Dummy_Variables!B104</f>
        <v>45748</v>
      </c>
      <c r="C104" s="4" t="str">
        <f>Dummy_Variables!C104</f>
        <v>West</v>
      </c>
      <c r="D104" s="4" t="str">
        <f>Dummy_Variables!D104</f>
        <v>Mall</v>
      </c>
      <c r="E104" s="13">
        <f>Dummy_Variables!P104</f>
        <v>675177.68</v>
      </c>
      <c r="F104" s="13">
        <f>Multiple_Regression!$B$44+Multiple_Regression!$B$45*Dummy_Variables!E104+Multiple_Regression!$B$46*Dummy_Variables!F104+Multiple_Regression!$B$47*Dummy_Variables!G104+Multiple_Regression!$B$48*Dummy_Variables!H104+Multiple_Regression!$B$49*Dummy_Variables!I104+Multiple_Regression!$B$50*Dummy_Variables!J104+Multiple_Regression!$B$51*Dummy_Variables!K104+Multiple_Regression!$B$52*Dummy_Variables!L104+Multiple_Regression!$B$53*Dummy_Variables!M104+Multiple_Regression!$B$54*Dummy_Variables!N104</f>
        <v>663432.75123799231</v>
      </c>
      <c r="G104" s="13">
        <f t="shared" si="2"/>
        <v>11744.928762007738</v>
      </c>
      <c r="H104" s="13">
        <f t="shared" si="3"/>
        <v>11744.928762007738</v>
      </c>
    </row>
    <row r="105" spans="1:8" x14ac:dyDescent="0.35">
      <c r="A105" s="4" t="str">
        <f>Dummy_Variables!A105</f>
        <v>STR-1026</v>
      </c>
      <c r="B105" s="12">
        <f>Dummy_Variables!B105</f>
        <v>45658</v>
      </c>
      <c r="C105" s="4" t="str">
        <f>Dummy_Variables!C105</f>
        <v>East</v>
      </c>
      <c r="D105" s="4" t="str">
        <f>Dummy_Variables!D105</f>
        <v>Mall</v>
      </c>
      <c r="E105" s="13">
        <f>Dummy_Variables!P105</f>
        <v>635181.35</v>
      </c>
      <c r="F105" s="13">
        <f>Multiple_Regression!$B$44+Multiple_Regression!$B$45*Dummy_Variables!E105+Multiple_Regression!$B$46*Dummy_Variables!F105+Multiple_Regression!$B$47*Dummy_Variables!G105+Multiple_Regression!$B$48*Dummy_Variables!H105+Multiple_Regression!$B$49*Dummy_Variables!I105+Multiple_Regression!$B$50*Dummy_Variables!J105+Multiple_Regression!$B$51*Dummy_Variables!K105+Multiple_Regression!$B$52*Dummy_Variables!L105+Multiple_Regression!$B$53*Dummy_Variables!M105+Multiple_Regression!$B$54*Dummy_Variables!N105</f>
        <v>617038.32258287992</v>
      </c>
      <c r="G105" s="13">
        <f t="shared" si="2"/>
        <v>18143.027417120058</v>
      </c>
      <c r="H105" s="13">
        <f t="shared" si="3"/>
        <v>18143.027417120058</v>
      </c>
    </row>
    <row r="106" spans="1:8" x14ac:dyDescent="0.35">
      <c r="A106" s="4" t="str">
        <f>Dummy_Variables!A106</f>
        <v>STR-1026</v>
      </c>
      <c r="B106" s="12">
        <f>Dummy_Variables!B106</f>
        <v>45689</v>
      </c>
      <c r="C106" s="4" t="str">
        <f>Dummy_Variables!C106</f>
        <v>East</v>
      </c>
      <c r="D106" s="4" t="str">
        <f>Dummy_Variables!D106</f>
        <v>Mall</v>
      </c>
      <c r="E106" s="13">
        <f>Dummy_Variables!P106</f>
        <v>586626.93999999994</v>
      </c>
      <c r="F106" s="13">
        <f>Multiple_Regression!$B$44+Multiple_Regression!$B$45*Dummy_Variables!E106+Multiple_Regression!$B$46*Dummy_Variables!F106+Multiple_Regression!$B$47*Dummy_Variables!G106+Multiple_Regression!$B$48*Dummy_Variables!H106+Multiple_Regression!$B$49*Dummy_Variables!I106+Multiple_Regression!$B$50*Dummy_Variables!J106+Multiple_Regression!$B$51*Dummy_Variables!K106+Multiple_Regression!$B$52*Dummy_Variables!L106+Multiple_Regression!$B$53*Dummy_Variables!M106+Multiple_Regression!$B$54*Dummy_Variables!N106</f>
        <v>629646.88640129694</v>
      </c>
      <c r="G106" s="13">
        <f t="shared" si="2"/>
        <v>-43019.946401296998</v>
      </c>
      <c r="H106" s="13">
        <f t="shared" si="3"/>
        <v>43019.946401296998</v>
      </c>
    </row>
    <row r="107" spans="1:8" x14ac:dyDescent="0.35">
      <c r="A107" s="4" t="str">
        <f>Dummy_Variables!A107</f>
        <v>STR-1026</v>
      </c>
      <c r="B107" s="12">
        <f>Dummy_Variables!B107</f>
        <v>45717</v>
      </c>
      <c r="C107" s="4" t="str">
        <f>Dummy_Variables!C107</f>
        <v>East</v>
      </c>
      <c r="D107" s="4" t="str">
        <f>Dummy_Variables!D107</f>
        <v>Mall</v>
      </c>
      <c r="E107" s="13">
        <f>Dummy_Variables!P107</f>
        <v>740102.64</v>
      </c>
      <c r="F107" s="13">
        <f>Multiple_Regression!$B$44+Multiple_Regression!$B$45*Dummy_Variables!E107+Multiple_Regression!$B$46*Dummy_Variables!F107+Multiple_Regression!$B$47*Dummy_Variables!G107+Multiple_Regression!$B$48*Dummy_Variables!H107+Multiple_Regression!$B$49*Dummy_Variables!I107+Multiple_Regression!$B$50*Dummy_Variables!J107+Multiple_Regression!$B$51*Dummy_Variables!K107+Multiple_Regression!$B$52*Dummy_Variables!L107+Multiple_Regression!$B$53*Dummy_Variables!M107+Multiple_Regression!$B$54*Dummy_Variables!N107</f>
        <v>742976.05573815899</v>
      </c>
      <c r="G107" s="13">
        <f t="shared" si="2"/>
        <v>-2873.4157381589757</v>
      </c>
      <c r="H107" s="13">
        <f t="shared" si="3"/>
        <v>2873.4157381589757</v>
      </c>
    </row>
    <row r="108" spans="1:8" x14ac:dyDescent="0.35">
      <c r="A108" s="4" t="str">
        <f>Dummy_Variables!A108</f>
        <v>STR-1026</v>
      </c>
      <c r="B108" s="12">
        <f>Dummy_Variables!B108</f>
        <v>45748</v>
      </c>
      <c r="C108" s="4" t="str">
        <f>Dummy_Variables!C108</f>
        <v>East</v>
      </c>
      <c r="D108" s="4" t="str">
        <f>Dummy_Variables!D108</f>
        <v>Mall</v>
      </c>
      <c r="E108" s="13">
        <f>Dummy_Variables!P108</f>
        <v>625514.04</v>
      </c>
      <c r="F108" s="13">
        <f>Multiple_Regression!$B$44+Multiple_Regression!$B$45*Dummy_Variables!E108+Multiple_Regression!$B$46*Dummy_Variables!F108+Multiple_Regression!$B$47*Dummy_Variables!G108+Multiple_Regression!$B$48*Dummy_Variables!H108+Multiple_Regression!$B$49*Dummy_Variables!I108+Multiple_Regression!$B$50*Dummy_Variables!J108+Multiple_Regression!$B$51*Dummy_Variables!K108+Multiple_Regression!$B$52*Dummy_Variables!L108+Multiple_Regression!$B$53*Dummy_Variables!M108+Multiple_Regression!$B$54*Dummy_Variables!N108</f>
        <v>560202.14794249588</v>
      </c>
      <c r="G108" s="13">
        <f t="shared" si="2"/>
        <v>65311.892057504156</v>
      </c>
      <c r="H108" s="13">
        <f t="shared" si="3"/>
        <v>65311.892057504156</v>
      </c>
    </row>
    <row r="109" spans="1:8" x14ac:dyDescent="0.35">
      <c r="A109" s="4" t="str">
        <f>Dummy_Variables!A109</f>
        <v>STR-1027</v>
      </c>
      <c r="B109" s="12">
        <f>Dummy_Variables!B109</f>
        <v>45658</v>
      </c>
      <c r="C109" s="4" t="str">
        <f>Dummy_Variables!C109</f>
        <v>West</v>
      </c>
      <c r="D109" s="4" t="str">
        <f>Dummy_Variables!D109</f>
        <v>High Street</v>
      </c>
      <c r="E109" s="13">
        <f>Dummy_Variables!P109</f>
        <v>727227.2</v>
      </c>
      <c r="F109" s="13">
        <f>Multiple_Regression!$B$44+Multiple_Regression!$B$45*Dummy_Variables!E109+Multiple_Regression!$B$46*Dummy_Variables!F109+Multiple_Regression!$B$47*Dummy_Variables!G109+Multiple_Regression!$B$48*Dummy_Variables!H109+Multiple_Regression!$B$49*Dummy_Variables!I109+Multiple_Regression!$B$50*Dummy_Variables!J109+Multiple_Regression!$B$51*Dummy_Variables!K109+Multiple_Regression!$B$52*Dummy_Variables!L109+Multiple_Regression!$B$53*Dummy_Variables!M109+Multiple_Regression!$B$54*Dummy_Variables!N109</f>
        <v>683505.26407054067</v>
      </c>
      <c r="G109" s="13">
        <f t="shared" si="2"/>
        <v>43721.935929459287</v>
      </c>
      <c r="H109" s="13">
        <f t="shared" si="3"/>
        <v>43721.935929459287</v>
      </c>
    </row>
    <row r="110" spans="1:8" x14ac:dyDescent="0.35">
      <c r="A110" s="4" t="str">
        <f>Dummy_Variables!A110</f>
        <v>STR-1027</v>
      </c>
      <c r="B110" s="12">
        <f>Dummy_Variables!B110</f>
        <v>45689</v>
      </c>
      <c r="C110" s="4" t="str">
        <f>Dummy_Variables!C110</f>
        <v>West</v>
      </c>
      <c r="D110" s="4" t="str">
        <f>Dummy_Variables!D110</f>
        <v>High Street</v>
      </c>
      <c r="E110" s="13">
        <f>Dummy_Variables!P110</f>
        <v>783797.89</v>
      </c>
      <c r="F110" s="13">
        <f>Multiple_Regression!$B$44+Multiple_Regression!$B$45*Dummy_Variables!E110+Multiple_Regression!$B$46*Dummy_Variables!F110+Multiple_Regression!$B$47*Dummy_Variables!G110+Multiple_Regression!$B$48*Dummy_Variables!H110+Multiple_Regression!$B$49*Dummy_Variables!I110+Multiple_Regression!$B$50*Dummy_Variables!J110+Multiple_Regression!$B$51*Dummy_Variables!K110+Multiple_Regression!$B$52*Dummy_Variables!L110+Multiple_Regression!$B$53*Dummy_Variables!M110+Multiple_Regression!$B$54*Dummy_Variables!N110</f>
        <v>782949.23260644206</v>
      </c>
      <c r="G110" s="13">
        <f t="shared" si="2"/>
        <v>848.65739355795085</v>
      </c>
      <c r="H110" s="13">
        <f t="shared" si="3"/>
        <v>848.65739355795085</v>
      </c>
    </row>
    <row r="111" spans="1:8" x14ac:dyDescent="0.35">
      <c r="A111" s="4" t="str">
        <f>Dummy_Variables!A111</f>
        <v>STR-1027</v>
      </c>
      <c r="B111" s="12">
        <f>Dummy_Variables!B111</f>
        <v>45717</v>
      </c>
      <c r="C111" s="4" t="str">
        <f>Dummy_Variables!C111</f>
        <v>West</v>
      </c>
      <c r="D111" s="4" t="str">
        <f>Dummy_Variables!D111</f>
        <v>High Street</v>
      </c>
      <c r="E111" s="13">
        <f>Dummy_Variables!P111</f>
        <v>795153.84</v>
      </c>
      <c r="F111" s="13">
        <f>Multiple_Regression!$B$44+Multiple_Regression!$B$45*Dummy_Variables!E111+Multiple_Regression!$B$46*Dummy_Variables!F111+Multiple_Regression!$B$47*Dummy_Variables!G111+Multiple_Regression!$B$48*Dummy_Variables!H111+Multiple_Regression!$B$49*Dummy_Variables!I111+Multiple_Regression!$B$50*Dummy_Variables!J111+Multiple_Regression!$B$51*Dummy_Variables!K111+Multiple_Regression!$B$52*Dummy_Variables!L111+Multiple_Regression!$B$53*Dummy_Variables!M111+Multiple_Regression!$B$54*Dummy_Variables!N111</f>
        <v>722774.81726502976</v>
      </c>
      <c r="G111" s="13">
        <f t="shared" si="2"/>
        <v>72379.022734970204</v>
      </c>
      <c r="H111" s="13">
        <f t="shared" si="3"/>
        <v>72379.022734970204</v>
      </c>
    </row>
    <row r="112" spans="1:8" x14ac:dyDescent="0.35">
      <c r="A112" s="4" t="str">
        <f>Dummy_Variables!A112</f>
        <v>STR-1027</v>
      </c>
      <c r="B112" s="12">
        <f>Dummy_Variables!B112</f>
        <v>45748</v>
      </c>
      <c r="C112" s="4" t="str">
        <f>Dummy_Variables!C112</f>
        <v>West</v>
      </c>
      <c r="D112" s="4" t="str">
        <f>Dummy_Variables!D112</f>
        <v>High Street</v>
      </c>
      <c r="E112" s="13">
        <f>Dummy_Variables!P112</f>
        <v>665594.93999999994</v>
      </c>
      <c r="F112" s="13">
        <f>Multiple_Regression!$B$44+Multiple_Regression!$B$45*Dummy_Variables!E112+Multiple_Regression!$B$46*Dummy_Variables!F112+Multiple_Regression!$B$47*Dummy_Variables!G112+Multiple_Regression!$B$48*Dummy_Variables!H112+Multiple_Regression!$B$49*Dummy_Variables!I112+Multiple_Regression!$B$50*Dummy_Variables!J112+Multiple_Regression!$B$51*Dummy_Variables!K112+Multiple_Regression!$B$52*Dummy_Variables!L112+Multiple_Regression!$B$53*Dummy_Variables!M112+Multiple_Regression!$B$54*Dummy_Variables!N112</f>
        <v>631448.74691895023</v>
      </c>
      <c r="G112" s="13">
        <f t="shared" si="2"/>
        <v>34146.193081049714</v>
      </c>
      <c r="H112" s="13">
        <f t="shared" si="3"/>
        <v>34146.193081049714</v>
      </c>
    </row>
    <row r="113" spans="1:8" x14ac:dyDescent="0.35">
      <c r="A113" s="4" t="str">
        <f>Dummy_Variables!A113</f>
        <v>STR-1028</v>
      </c>
      <c r="B113" s="12">
        <f>Dummy_Variables!B113</f>
        <v>45658</v>
      </c>
      <c r="C113" s="4" t="str">
        <f>Dummy_Variables!C113</f>
        <v>East</v>
      </c>
      <c r="D113" s="4" t="str">
        <f>Dummy_Variables!D113</f>
        <v>Mall</v>
      </c>
      <c r="E113" s="13">
        <f>Dummy_Variables!P113</f>
        <v>709478.39</v>
      </c>
      <c r="F113" s="13">
        <f>Multiple_Regression!$B$44+Multiple_Regression!$B$45*Dummy_Variables!E113+Multiple_Regression!$B$46*Dummy_Variables!F113+Multiple_Regression!$B$47*Dummy_Variables!G113+Multiple_Regression!$B$48*Dummy_Variables!H113+Multiple_Regression!$B$49*Dummy_Variables!I113+Multiple_Regression!$B$50*Dummy_Variables!J113+Multiple_Regression!$B$51*Dummy_Variables!K113+Multiple_Regression!$B$52*Dummy_Variables!L113+Multiple_Regression!$B$53*Dummy_Variables!M113+Multiple_Regression!$B$54*Dummy_Variables!N113</f>
        <v>686143.38744233188</v>
      </c>
      <c r="G113" s="13">
        <f t="shared" si="2"/>
        <v>23335.002557668136</v>
      </c>
      <c r="H113" s="13">
        <f t="shared" si="3"/>
        <v>23335.002557668136</v>
      </c>
    </row>
    <row r="114" spans="1:8" x14ac:dyDescent="0.35">
      <c r="A114" s="4" t="str">
        <f>Dummy_Variables!A114</f>
        <v>STR-1028</v>
      </c>
      <c r="B114" s="12">
        <f>Dummy_Variables!B114</f>
        <v>45689</v>
      </c>
      <c r="C114" s="4" t="str">
        <f>Dummy_Variables!C114</f>
        <v>East</v>
      </c>
      <c r="D114" s="4" t="str">
        <f>Dummy_Variables!D114</f>
        <v>Mall</v>
      </c>
      <c r="E114" s="13">
        <f>Dummy_Variables!P114</f>
        <v>664162.49</v>
      </c>
      <c r="F114" s="13">
        <f>Multiple_Regression!$B$44+Multiple_Regression!$B$45*Dummy_Variables!E114+Multiple_Regression!$B$46*Dummy_Variables!F114+Multiple_Regression!$B$47*Dummy_Variables!G114+Multiple_Regression!$B$48*Dummy_Variables!H114+Multiple_Regression!$B$49*Dummy_Variables!I114+Multiple_Regression!$B$50*Dummy_Variables!J114+Multiple_Regression!$B$51*Dummy_Variables!K114+Multiple_Regression!$B$52*Dummy_Variables!L114+Multiple_Regression!$B$53*Dummy_Variables!M114+Multiple_Regression!$B$54*Dummy_Variables!N114</f>
        <v>648747.40338168899</v>
      </c>
      <c r="G114" s="13">
        <f t="shared" si="2"/>
        <v>15415.086618311005</v>
      </c>
      <c r="H114" s="13">
        <f t="shared" si="3"/>
        <v>15415.086618311005</v>
      </c>
    </row>
    <row r="115" spans="1:8" x14ac:dyDescent="0.35">
      <c r="A115" s="4" t="str">
        <f>Dummy_Variables!A115</f>
        <v>STR-1028</v>
      </c>
      <c r="B115" s="12">
        <f>Dummy_Variables!B115</f>
        <v>45717</v>
      </c>
      <c r="C115" s="4" t="str">
        <f>Dummy_Variables!C115</f>
        <v>East</v>
      </c>
      <c r="D115" s="4" t="str">
        <f>Dummy_Variables!D115</f>
        <v>Mall</v>
      </c>
      <c r="E115" s="13">
        <f>Dummy_Variables!P115</f>
        <v>633494.21</v>
      </c>
      <c r="F115" s="13">
        <f>Multiple_Regression!$B$44+Multiple_Regression!$B$45*Dummy_Variables!E115+Multiple_Regression!$B$46*Dummy_Variables!F115+Multiple_Regression!$B$47*Dummy_Variables!G115+Multiple_Regression!$B$48*Dummy_Variables!H115+Multiple_Regression!$B$49*Dummy_Variables!I115+Multiple_Regression!$B$50*Dummy_Variables!J115+Multiple_Regression!$B$51*Dummy_Variables!K115+Multiple_Regression!$B$52*Dummy_Variables!L115+Multiple_Regression!$B$53*Dummy_Variables!M115+Multiple_Regression!$B$54*Dummy_Variables!N115</f>
        <v>675904.01884401403</v>
      </c>
      <c r="G115" s="13">
        <f t="shared" si="2"/>
        <v>-42409.808844014071</v>
      </c>
      <c r="H115" s="13">
        <f t="shared" si="3"/>
        <v>42409.808844014071</v>
      </c>
    </row>
    <row r="116" spans="1:8" x14ac:dyDescent="0.35">
      <c r="A116" s="4" t="str">
        <f>Dummy_Variables!A116</f>
        <v>STR-1028</v>
      </c>
      <c r="B116" s="12">
        <f>Dummy_Variables!B116</f>
        <v>45748</v>
      </c>
      <c r="C116" s="4" t="str">
        <f>Dummy_Variables!C116</f>
        <v>East</v>
      </c>
      <c r="D116" s="4" t="str">
        <f>Dummy_Variables!D116</f>
        <v>Mall</v>
      </c>
      <c r="E116" s="13">
        <f>Dummy_Variables!P116</f>
        <v>713611.16</v>
      </c>
      <c r="F116" s="13">
        <f>Multiple_Regression!$B$44+Multiple_Regression!$B$45*Dummy_Variables!E116+Multiple_Regression!$B$46*Dummy_Variables!F116+Multiple_Regression!$B$47*Dummy_Variables!G116+Multiple_Regression!$B$48*Dummy_Variables!H116+Multiple_Regression!$B$49*Dummy_Variables!I116+Multiple_Regression!$B$50*Dummy_Variables!J116+Multiple_Regression!$B$51*Dummy_Variables!K116+Multiple_Regression!$B$52*Dummy_Variables!L116+Multiple_Regression!$B$53*Dummy_Variables!M116+Multiple_Regression!$B$54*Dummy_Variables!N116</f>
        <v>623402.38731585233</v>
      </c>
      <c r="G116" s="13">
        <f t="shared" si="2"/>
        <v>90208.772684147698</v>
      </c>
      <c r="H116" s="13">
        <f t="shared" si="3"/>
        <v>90208.772684147698</v>
      </c>
    </row>
    <row r="117" spans="1:8" x14ac:dyDescent="0.35">
      <c r="A117" s="4" t="str">
        <f>Dummy_Variables!A117</f>
        <v>STR-1029</v>
      </c>
      <c r="B117" s="12">
        <f>Dummy_Variables!B117</f>
        <v>45658</v>
      </c>
      <c r="C117" s="4" t="str">
        <f>Dummy_Variables!C117</f>
        <v>West</v>
      </c>
      <c r="D117" s="4" t="str">
        <f>Dummy_Variables!D117</f>
        <v>Mall</v>
      </c>
      <c r="E117" s="13">
        <f>Dummy_Variables!P117</f>
        <v>778397.97</v>
      </c>
      <c r="F117" s="13">
        <f>Multiple_Regression!$B$44+Multiple_Regression!$B$45*Dummy_Variables!E117+Multiple_Regression!$B$46*Dummy_Variables!F117+Multiple_Regression!$B$47*Dummy_Variables!G117+Multiple_Regression!$B$48*Dummy_Variables!H117+Multiple_Regression!$B$49*Dummy_Variables!I117+Multiple_Regression!$B$50*Dummy_Variables!J117+Multiple_Regression!$B$51*Dummy_Variables!K117+Multiple_Regression!$B$52*Dummy_Variables!L117+Multiple_Regression!$B$53*Dummy_Variables!M117+Multiple_Regression!$B$54*Dummy_Variables!N117</f>
        <v>738859.02659095719</v>
      </c>
      <c r="G117" s="13">
        <f t="shared" si="2"/>
        <v>39538.943409042782</v>
      </c>
      <c r="H117" s="13">
        <f t="shared" si="3"/>
        <v>39538.943409042782</v>
      </c>
    </row>
    <row r="118" spans="1:8" x14ac:dyDescent="0.35">
      <c r="A118" s="4" t="str">
        <f>Dummy_Variables!A118</f>
        <v>STR-1029</v>
      </c>
      <c r="B118" s="12">
        <f>Dummy_Variables!B118</f>
        <v>45689</v>
      </c>
      <c r="C118" s="4" t="str">
        <f>Dummy_Variables!C118</f>
        <v>West</v>
      </c>
      <c r="D118" s="4" t="str">
        <f>Dummy_Variables!D118</f>
        <v>Mall</v>
      </c>
      <c r="E118" s="13">
        <f>Dummy_Variables!P118</f>
        <v>873380.02</v>
      </c>
      <c r="F118" s="13">
        <f>Multiple_Regression!$B$44+Multiple_Regression!$B$45*Dummy_Variables!E118+Multiple_Regression!$B$46*Dummy_Variables!F118+Multiple_Regression!$B$47*Dummy_Variables!G118+Multiple_Regression!$B$48*Dummy_Variables!H118+Multiple_Regression!$B$49*Dummy_Variables!I118+Multiple_Regression!$B$50*Dummy_Variables!J118+Multiple_Regression!$B$51*Dummy_Variables!K118+Multiple_Regression!$B$52*Dummy_Variables!L118+Multiple_Regression!$B$53*Dummy_Variables!M118+Multiple_Regression!$B$54*Dummy_Variables!N118</f>
        <v>836475.97443259461</v>
      </c>
      <c r="G118" s="13">
        <f t="shared" si="2"/>
        <v>36904.04556740541</v>
      </c>
      <c r="H118" s="13">
        <f t="shared" si="3"/>
        <v>36904.04556740541</v>
      </c>
    </row>
    <row r="119" spans="1:8" x14ac:dyDescent="0.35">
      <c r="A119" s="4" t="str">
        <f>Dummy_Variables!A119</f>
        <v>STR-1029</v>
      </c>
      <c r="B119" s="12">
        <f>Dummy_Variables!B119</f>
        <v>45717</v>
      </c>
      <c r="C119" s="4" t="str">
        <f>Dummy_Variables!C119</f>
        <v>West</v>
      </c>
      <c r="D119" s="4" t="str">
        <f>Dummy_Variables!D119</f>
        <v>Mall</v>
      </c>
      <c r="E119" s="13">
        <f>Dummy_Variables!P119</f>
        <v>697287.9</v>
      </c>
      <c r="F119" s="13">
        <f>Multiple_Regression!$B$44+Multiple_Regression!$B$45*Dummy_Variables!E119+Multiple_Regression!$B$46*Dummy_Variables!F119+Multiple_Regression!$B$47*Dummy_Variables!G119+Multiple_Regression!$B$48*Dummy_Variables!H119+Multiple_Regression!$B$49*Dummy_Variables!I119+Multiple_Regression!$B$50*Dummy_Variables!J119+Multiple_Regression!$B$51*Dummy_Variables!K119+Multiple_Regression!$B$52*Dummy_Variables!L119+Multiple_Regression!$B$53*Dummy_Variables!M119+Multiple_Regression!$B$54*Dummy_Variables!N119</f>
        <v>733632.58741655026</v>
      </c>
      <c r="G119" s="13">
        <f t="shared" si="2"/>
        <v>-36344.687416550238</v>
      </c>
      <c r="H119" s="13">
        <f t="shared" si="3"/>
        <v>36344.687416550238</v>
      </c>
    </row>
    <row r="120" spans="1:8" x14ac:dyDescent="0.35">
      <c r="A120" s="4" t="str">
        <f>Dummy_Variables!A120</f>
        <v>STR-1029</v>
      </c>
      <c r="B120" s="12">
        <f>Dummy_Variables!B120</f>
        <v>45748</v>
      </c>
      <c r="C120" s="4" t="str">
        <f>Dummy_Variables!C120</f>
        <v>West</v>
      </c>
      <c r="D120" s="4" t="str">
        <f>Dummy_Variables!D120</f>
        <v>Mall</v>
      </c>
      <c r="E120" s="13">
        <f>Dummy_Variables!P120</f>
        <v>718074.79</v>
      </c>
      <c r="F120" s="13">
        <f>Multiple_Regression!$B$44+Multiple_Regression!$B$45*Dummy_Variables!E120+Multiple_Regression!$B$46*Dummy_Variables!F120+Multiple_Regression!$B$47*Dummy_Variables!G120+Multiple_Regression!$B$48*Dummy_Variables!H120+Multiple_Regression!$B$49*Dummy_Variables!I120+Multiple_Regression!$B$50*Dummy_Variables!J120+Multiple_Regression!$B$51*Dummy_Variables!K120+Multiple_Regression!$B$52*Dummy_Variables!L120+Multiple_Regression!$B$53*Dummy_Variables!M120+Multiple_Regression!$B$54*Dummy_Variables!N120</f>
        <v>743851.58464996307</v>
      </c>
      <c r="G120" s="13">
        <f t="shared" si="2"/>
        <v>-25776.794649963034</v>
      </c>
      <c r="H120" s="13">
        <f t="shared" si="3"/>
        <v>25776.794649963034</v>
      </c>
    </row>
    <row r="121" spans="1:8" x14ac:dyDescent="0.35">
      <c r="A121" s="4" t="str">
        <f>Dummy_Variables!A121</f>
        <v>STR-1030</v>
      </c>
      <c r="B121" s="12">
        <f>Dummy_Variables!B121</f>
        <v>45658</v>
      </c>
      <c r="C121" s="4" t="str">
        <f>Dummy_Variables!C121</f>
        <v>West</v>
      </c>
      <c r="D121" s="4" t="str">
        <f>Dummy_Variables!D121</f>
        <v>Residential</v>
      </c>
      <c r="E121" s="13">
        <f>Dummy_Variables!P121</f>
        <v>714942.43</v>
      </c>
      <c r="F121" s="13">
        <f>Multiple_Regression!$B$44+Multiple_Regression!$B$45*Dummy_Variables!E121+Multiple_Regression!$B$46*Dummy_Variables!F121+Multiple_Regression!$B$47*Dummy_Variables!G121+Multiple_Regression!$B$48*Dummy_Variables!H121+Multiple_Regression!$B$49*Dummy_Variables!I121+Multiple_Regression!$B$50*Dummy_Variables!J121+Multiple_Regression!$B$51*Dummy_Variables!K121+Multiple_Regression!$B$52*Dummy_Variables!L121+Multiple_Regression!$B$53*Dummy_Variables!M121+Multiple_Regression!$B$54*Dummy_Variables!N121</f>
        <v>720209.23687813804</v>
      </c>
      <c r="G121" s="13">
        <f t="shared" si="2"/>
        <v>-5266.8068781379843</v>
      </c>
      <c r="H121" s="13">
        <f t="shared" si="3"/>
        <v>5266.8068781379843</v>
      </c>
    </row>
    <row r="122" spans="1:8" x14ac:dyDescent="0.35">
      <c r="A122" s="4" t="str">
        <f>Dummy_Variables!A122</f>
        <v>STR-1030</v>
      </c>
      <c r="B122" s="12">
        <f>Dummy_Variables!B122</f>
        <v>45689</v>
      </c>
      <c r="C122" s="4" t="str">
        <f>Dummy_Variables!C122</f>
        <v>West</v>
      </c>
      <c r="D122" s="4" t="str">
        <f>Dummy_Variables!D122</f>
        <v>Residential</v>
      </c>
      <c r="E122" s="13">
        <f>Dummy_Variables!P122</f>
        <v>820519.04</v>
      </c>
      <c r="F122" s="13">
        <f>Multiple_Regression!$B$44+Multiple_Regression!$B$45*Dummy_Variables!E122+Multiple_Regression!$B$46*Dummy_Variables!F122+Multiple_Regression!$B$47*Dummy_Variables!G122+Multiple_Regression!$B$48*Dummy_Variables!H122+Multiple_Regression!$B$49*Dummy_Variables!I122+Multiple_Regression!$B$50*Dummy_Variables!J122+Multiple_Regression!$B$51*Dummy_Variables!K122+Multiple_Regression!$B$52*Dummy_Variables!L122+Multiple_Regression!$B$53*Dummy_Variables!M122+Multiple_Regression!$B$54*Dummy_Variables!N122</f>
        <v>728663.9618994362</v>
      </c>
      <c r="G122" s="13">
        <f t="shared" si="2"/>
        <v>91855.078100563842</v>
      </c>
      <c r="H122" s="13">
        <f t="shared" si="3"/>
        <v>91855.078100563842</v>
      </c>
    </row>
    <row r="123" spans="1:8" x14ac:dyDescent="0.35">
      <c r="A123" s="4" t="str">
        <f>Dummy_Variables!A123</f>
        <v>STR-1030</v>
      </c>
      <c r="B123" s="12">
        <f>Dummy_Variables!B123</f>
        <v>45717</v>
      </c>
      <c r="C123" s="4" t="str">
        <f>Dummy_Variables!C123</f>
        <v>West</v>
      </c>
      <c r="D123" s="4" t="str">
        <f>Dummy_Variables!D123</f>
        <v>Residential</v>
      </c>
      <c r="E123" s="13">
        <f>Dummy_Variables!P123</f>
        <v>684217.32</v>
      </c>
      <c r="F123" s="13">
        <f>Multiple_Regression!$B$44+Multiple_Regression!$B$45*Dummy_Variables!E123+Multiple_Regression!$B$46*Dummy_Variables!F123+Multiple_Regression!$B$47*Dummy_Variables!G123+Multiple_Regression!$B$48*Dummy_Variables!H123+Multiple_Regression!$B$49*Dummy_Variables!I123+Multiple_Regression!$B$50*Dummy_Variables!J123+Multiple_Regression!$B$51*Dummy_Variables!K123+Multiple_Regression!$B$52*Dummy_Variables!L123+Multiple_Regression!$B$53*Dummy_Variables!M123+Multiple_Regression!$B$54*Dummy_Variables!N123</f>
        <v>711854.45132137369</v>
      </c>
      <c r="G123" s="13">
        <f t="shared" si="2"/>
        <v>-27637.131321373745</v>
      </c>
      <c r="H123" s="13">
        <f t="shared" si="3"/>
        <v>27637.131321373745</v>
      </c>
    </row>
    <row r="124" spans="1:8" x14ac:dyDescent="0.35">
      <c r="A124" s="4" t="str">
        <f>Dummy_Variables!A124</f>
        <v>STR-1030</v>
      </c>
      <c r="B124" s="12">
        <f>Dummy_Variables!B124</f>
        <v>45748</v>
      </c>
      <c r="C124" s="4" t="str">
        <f>Dummy_Variables!C124</f>
        <v>West</v>
      </c>
      <c r="D124" s="4" t="str">
        <f>Dummy_Variables!D124</f>
        <v>Residential</v>
      </c>
      <c r="E124" s="13">
        <f>Dummy_Variables!P124</f>
        <v>735480.19</v>
      </c>
      <c r="F124" s="13">
        <f>Multiple_Regression!$B$44+Multiple_Regression!$B$45*Dummy_Variables!E124+Multiple_Regression!$B$46*Dummy_Variables!F124+Multiple_Regression!$B$47*Dummy_Variables!G124+Multiple_Regression!$B$48*Dummy_Variables!H124+Multiple_Regression!$B$49*Dummy_Variables!I124+Multiple_Regression!$B$50*Dummy_Variables!J124+Multiple_Regression!$B$51*Dummy_Variables!K124+Multiple_Regression!$B$52*Dummy_Variables!L124+Multiple_Regression!$B$53*Dummy_Variables!M124+Multiple_Regression!$B$54*Dummy_Variables!N124</f>
        <v>717771.64743456792</v>
      </c>
      <c r="G124" s="13">
        <f t="shared" si="2"/>
        <v>17708.542565432028</v>
      </c>
      <c r="H124" s="13">
        <f t="shared" si="3"/>
        <v>17708.542565432028</v>
      </c>
    </row>
    <row r="125" spans="1:8" x14ac:dyDescent="0.35">
      <c r="A125" s="4" t="str">
        <f>Dummy_Variables!A125</f>
        <v>STR-1031</v>
      </c>
      <c r="B125" s="12">
        <f>Dummy_Variables!B125</f>
        <v>45658</v>
      </c>
      <c r="C125" s="4" t="str">
        <f>Dummy_Variables!C125</f>
        <v>North</v>
      </c>
      <c r="D125" s="4" t="str">
        <f>Dummy_Variables!D125</f>
        <v>High Street</v>
      </c>
      <c r="E125" s="13">
        <f>Dummy_Variables!P125</f>
        <v>509484.81</v>
      </c>
      <c r="F125" s="13">
        <f>Multiple_Regression!$B$44+Multiple_Regression!$B$45*Dummy_Variables!E125+Multiple_Regression!$B$46*Dummy_Variables!F125+Multiple_Regression!$B$47*Dummy_Variables!G125+Multiple_Regression!$B$48*Dummy_Variables!H125+Multiple_Regression!$B$49*Dummy_Variables!I125+Multiple_Regression!$B$50*Dummy_Variables!J125+Multiple_Regression!$B$51*Dummy_Variables!K125+Multiple_Regression!$B$52*Dummy_Variables!L125+Multiple_Regression!$B$53*Dummy_Variables!M125+Multiple_Regression!$B$54*Dummy_Variables!N125</f>
        <v>558144.35697548091</v>
      </c>
      <c r="G125" s="13">
        <f t="shared" si="2"/>
        <v>-48659.546975480916</v>
      </c>
      <c r="H125" s="13">
        <f t="shared" si="3"/>
        <v>48659.546975480916</v>
      </c>
    </row>
    <row r="126" spans="1:8" x14ac:dyDescent="0.35">
      <c r="A126" s="4" t="str">
        <f>Dummy_Variables!A126</f>
        <v>STR-1031</v>
      </c>
      <c r="B126" s="12">
        <f>Dummy_Variables!B126</f>
        <v>45689</v>
      </c>
      <c r="C126" s="4" t="str">
        <f>Dummy_Variables!C126</f>
        <v>North</v>
      </c>
      <c r="D126" s="4" t="str">
        <f>Dummy_Variables!D126</f>
        <v>High Street</v>
      </c>
      <c r="E126" s="13">
        <f>Dummy_Variables!P126</f>
        <v>654317.09</v>
      </c>
      <c r="F126" s="13">
        <f>Multiple_Regression!$B$44+Multiple_Regression!$B$45*Dummy_Variables!E126+Multiple_Regression!$B$46*Dummy_Variables!F126+Multiple_Regression!$B$47*Dummy_Variables!G126+Multiple_Regression!$B$48*Dummy_Variables!H126+Multiple_Regression!$B$49*Dummy_Variables!I126+Multiple_Regression!$B$50*Dummy_Variables!J126+Multiple_Regression!$B$51*Dummy_Variables!K126+Multiple_Regression!$B$52*Dummy_Variables!L126+Multiple_Regression!$B$53*Dummy_Variables!M126+Multiple_Regression!$B$54*Dummy_Variables!N126</f>
        <v>630124.29727060592</v>
      </c>
      <c r="G126" s="13">
        <f t="shared" si="2"/>
        <v>24192.792729394045</v>
      </c>
      <c r="H126" s="13">
        <f t="shared" si="3"/>
        <v>24192.792729394045</v>
      </c>
    </row>
    <row r="127" spans="1:8" x14ac:dyDescent="0.35">
      <c r="A127" s="4" t="str">
        <f>Dummy_Variables!A127</f>
        <v>STR-1031</v>
      </c>
      <c r="B127" s="12">
        <f>Dummy_Variables!B127</f>
        <v>45717</v>
      </c>
      <c r="C127" s="4" t="str">
        <f>Dummy_Variables!C127</f>
        <v>North</v>
      </c>
      <c r="D127" s="4" t="str">
        <f>Dummy_Variables!D127</f>
        <v>High Street</v>
      </c>
      <c r="E127" s="13">
        <f>Dummy_Variables!P127</f>
        <v>557487.26</v>
      </c>
      <c r="F127" s="13">
        <f>Multiple_Regression!$B$44+Multiple_Regression!$B$45*Dummy_Variables!E127+Multiple_Regression!$B$46*Dummy_Variables!F127+Multiple_Regression!$B$47*Dummy_Variables!G127+Multiple_Regression!$B$48*Dummy_Variables!H127+Multiple_Regression!$B$49*Dummy_Variables!I127+Multiple_Regression!$B$50*Dummy_Variables!J127+Multiple_Regression!$B$51*Dummy_Variables!K127+Multiple_Regression!$B$52*Dummy_Variables!L127+Multiple_Regression!$B$53*Dummy_Variables!M127+Multiple_Regression!$B$54*Dummy_Variables!N127</f>
        <v>600904.85943967279</v>
      </c>
      <c r="G127" s="13">
        <f t="shared" si="2"/>
        <v>-43417.599439672776</v>
      </c>
      <c r="H127" s="13">
        <f t="shared" si="3"/>
        <v>43417.599439672776</v>
      </c>
    </row>
    <row r="128" spans="1:8" x14ac:dyDescent="0.35">
      <c r="A128" s="4" t="str">
        <f>Dummy_Variables!A128</f>
        <v>STR-1031</v>
      </c>
      <c r="B128" s="12">
        <f>Dummy_Variables!B128</f>
        <v>45748</v>
      </c>
      <c r="C128" s="4" t="str">
        <f>Dummy_Variables!C128</f>
        <v>North</v>
      </c>
      <c r="D128" s="4" t="str">
        <f>Dummy_Variables!D128</f>
        <v>High Street</v>
      </c>
      <c r="E128" s="13">
        <f>Dummy_Variables!P128</f>
        <v>441275.42</v>
      </c>
      <c r="F128" s="13">
        <f>Multiple_Regression!$B$44+Multiple_Regression!$B$45*Dummy_Variables!E128+Multiple_Regression!$B$46*Dummy_Variables!F128+Multiple_Regression!$B$47*Dummy_Variables!G128+Multiple_Regression!$B$48*Dummy_Variables!H128+Multiple_Regression!$B$49*Dummy_Variables!I128+Multiple_Regression!$B$50*Dummy_Variables!J128+Multiple_Regression!$B$51*Dummy_Variables!K128+Multiple_Regression!$B$52*Dummy_Variables!L128+Multiple_Regression!$B$53*Dummy_Variables!M128+Multiple_Regression!$B$54*Dummy_Variables!N128</f>
        <v>474886.77697457629</v>
      </c>
      <c r="G128" s="13">
        <f t="shared" si="2"/>
        <v>-33611.356974576309</v>
      </c>
      <c r="H128" s="13">
        <f t="shared" si="3"/>
        <v>33611.356974576309</v>
      </c>
    </row>
    <row r="129" spans="1:8" x14ac:dyDescent="0.35">
      <c r="A129" s="4" t="str">
        <f>Dummy_Variables!A129</f>
        <v>STR-1032</v>
      </c>
      <c r="B129" s="12">
        <f>Dummy_Variables!B129</f>
        <v>45658</v>
      </c>
      <c r="C129" s="4" t="str">
        <f>Dummy_Variables!C129</f>
        <v>South</v>
      </c>
      <c r="D129" s="4" t="str">
        <f>Dummy_Variables!D129</f>
        <v>High Street</v>
      </c>
      <c r="E129" s="13">
        <f>Dummy_Variables!P129</f>
        <v>914544.17</v>
      </c>
      <c r="F129" s="13">
        <f>Multiple_Regression!$B$44+Multiple_Regression!$B$45*Dummy_Variables!E129+Multiple_Regression!$B$46*Dummy_Variables!F129+Multiple_Regression!$B$47*Dummy_Variables!G129+Multiple_Regression!$B$48*Dummy_Variables!H129+Multiple_Regression!$B$49*Dummy_Variables!I129+Multiple_Regression!$B$50*Dummy_Variables!J129+Multiple_Regression!$B$51*Dummy_Variables!K129+Multiple_Regression!$B$52*Dummy_Variables!L129+Multiple_Regression!$B$53*Dummy_Variables!M129+Multiple_Regression!$B$54*Dummy_Variables!N129</f>
        <v>843105.05341488111</v>
      </c>
      <c r="G129" s="13">
        <f t="shared" si="2"/>
        <v>71439.116585118929</v>
      </c>
      <c r="H129" s="13">
        <f t="shared" si="3"/>
        <v>71439.116585118929</v>
      </c>
    </row>
    <row r="130" spans="1:8" x14ac:dyDescent="0.35">
      <c r="A130" s="4" t="str">
        <f>Dummy_Variables!A130</f>
        <v>STR-1032</v>
      </c>
      <c r="B130" s="12">
        <f>Dummy_Variables!B130</f>
        <v>45689</v>
      </c>
      <c r="C130" s="4" t="str">
        <f>Dummy_Variables!C130</f>
        <v>South</v>
      </c>
      <c r="D130" s="4" t="str">
        <f>Dummy_Variables!D130</f>
        <v>High Street</v>
      </c>
      <c r="E130" s="13">
        <f>Dummy_Variables!P130</f>
        <v>842439.67</v>
      </c>
      <c r="F130" s="13">
        <f>Multiple_Regression!$B$44+Multiple_Regression!$B$45*Dummy_Variables!E130+Multiple_Regression!$B$46*Dummy_Variables!F130+Multiple_Regression!$B$47*Dummy_Variables!G130+Multiple_Regression!$B$48*Dummy_Variables!H130+Multiple_Regression!$B$49*Dummy_Variables!I130+Multiple_Regression!$B$50*Dummy_Variables!J130+Multiple_Regression!$B$51*Dummy_Variables!K130+Multiple_Regression!$B$52*Dummy_Variables!L130+Multiple_Regression!$B$53*Dummy_Variables!M130+Multiple_Regression!$B$54*Dummy_Variables!N130</f>
        <v>863100.54586765741</v>
      </c>
      <c r="G130" s="13">
        <f t="shared" si="2"/>
        <v>-20660.875867657363</v>
      </c>
      <c r="H130" s="13">
        <f t="shared" si="3"/>
        <v>20660.875867657363</v>
      </c>
    </row>
    <row r="131" spans="1:8" x14ac:dyDescent="0.35">
      <c r="A131" s="4" t="str">
        <f>Dummy_Variables!A131</f>
        <v>STR-1032</v>
      </c>
      <c r="B131" s="12">
        <f>Dummy_Variables!B131</f>
        <v>45717</v>
      </c>
      <c r="C131" s="4" t="str">
        <f>Dummy_Variables!C131</f>
        <v>South</v>
      </c>
      <c r="D131" s="4" t="str">
        <f>Dummy_Variables!D131</f>
        <v>High Street</v>
      </c>
      <c r="E131" s="13">
        <f>Dummy_Variables!P131</f>
        <v>842157.92</v>
      </c>
      <c r="F131" s="13">
        <f>Multiple_Regression!$B$44+Multiple_Regression!$B$45*Dummy_Variables!E131+Multiple_Regression!$B$46*Dummy_Variables!F131+Multiple_Regression!$B$47*Dummy_Variables!G131+Multiple_Regression!$B$48*Dummy_Variables!H131+Multiple_Regression!$B$49*Dummy_Variables!I131+Multiple_Regression!$B$50*Dummy_Variables!J131+Multiple_Regression!$B$51*Dummy_Variables!K131+Multiple_Regression!$B$52*Dummy_Variables!L131+Multiple_Regression!$B$53*Dummy_Variables!M131+Multiple_Regression!$B$54*Dummy_Variables!N131</f>
        <v>797494.5766735404</v>
      </c>
      <c r="G131" s="13">
        <f t="shared" si="2"/>
        <v>44663.343326459639</v>
      </c>
      <c r="H131" s="13">
        <f t="shared" si="3"/>
        <v>44663.343326459639</v>
      </c>
    </row>
    <row r="132" spans="1:8" x14ac:dyDescent="0.35">
      <c r="A132" s="4" t="str">
        <f>Dummy_Variables!A132</f>
        <v>STR-1032</v>
      </c>
      <c r="B132" s="12">
        <f>Dummy_Variables!B132</f>
        <v>45748</v>
      </c>
      <c r="C132" s="4" t="str">
        <f>Dummy_Variables!C132</f>
        <v>South</v>
      </c>
      <c r="D132" s="4" t="str">
        <f>Dummy_Variables!D132</f>
        <v>High Street</v>
      </c>
      <c r="E132" s="13">
        <f>Dummy_Variables!P132</f>
        <v>697155.3</v>
      </c>
      <c r="F132" s="13">
        <f>Multiple_Regression!$B$44+Multiple_Regression!$B$45*Dummy_Variables!E132+Multiple_Regression!$B$46*Dummy_Variables!F132+Multiple_Regression!$B$47*Dummy_Variables!G132+Multiple_Regression!$B$48*Dummy_Variables!H132+Multiple_Regression!$B$49*Dummy_Variables!I132+Multiple_Regression!$B$50*Dummy_Variables!J132+Multiple_Regression!$B$51*Dummy_Variables!K132+Multiple_Regression!$B$52*Dummy_Variables!L132+Multiple_Regression!$B$53*Dummy_Variables!M132+Multiple_Regression!$B$54*Dummy_Variables!N132</f>
        <v>707913.56010739983</v>
      </c>
      <c r="G132" s="13">
        <f t="shared" si="2"/>
        <v>-10758.260107399779</v>
      </c>
      <c r="H132" s="13">
        <f t="shared" si="3"/>
        <v>10758.260107399779</v>
      </c>
    </row>
    <row r="133" spans="1:8" x14ac:dyDescent="0.35">
      <c r="A133" s="4" t="str">
        <f>Dummy_Variables!A133</f>
        <v>STR-1033</v>
      </c>
      <c r="B133" s="12">
        <f>Dummy_Variables!B133</f>
        <v>45658</v>
      </c>
      <c r="C133" s="4" t="str">
        <f>Dummy_Variables!C133</f>
        <v>East</v>
      </c>
      <c r="D133" s="4" t="str">
        <f>Dummy_Variables!D133</f>
        <v>High Street</v>
      </c>
      <c r="E133" s="13">
        <f>Dummy_Variables!P133</f>
        <v>849018.3</v>
      </c>
      <c r="F133" s="13">
        <f>Multiple_Regression!$B$44+Multiple_Regression!$B$45*Dummy_Variables!E133+Multiple_Regression!$B$46*Dummy_Variables!F133+Multiple_Regression!$B$47*Dummy_Variables!G133+Multiple_Regression!$B$48*Dummy_Variables!H133+Multiple_Regression!$B$49*Dummy_Variables!I133+Multiple_Regression!$B$50*Dummy_Variables!J133+Multiple_Regression!$B$51*Dummy_Variables!K133+Multiple_Regression!$B$52*Dummy_Variables!L133+Multiple_Regression!$B$53*Dummy_Variables!M133+Multiple_Regression!$B$54*Dummy_Variables!N133</f>
        <v>854676.50298384822</v>
      </c>
      <c r="G133" s="13">
        <f t="shared" ref="G133:G196" si="4">E133-F133</f>
        <v>-5658.2029838481685</v>
      </c>
      <c r="H133" s="13">
        <f t="shared" ref="H133:H196" si="5">ABS(G133)</f>
        <v>5658.2029838481685</v>
      </c>
    </row>
    <row r="134" spans="1:8" x14ac:dyDescent="0.35">
      <c r="A134" s="4" t="str">
        <f>Dummy_Variables!A134</f>
        <v>STR-1033</v>
      </c>
      <c r="B134" s="12">
        <f>Dummy_Variables!B134</f>
        <v>45689</v>
      </c>
      <c r="C134" s="4" t="str">
        <f>Dummy_Variables!C134</f>
        <v>East</v>
      </c>
      <c r="D134" s="4" t="str">
        <f>Dummy_Variables!D134</f>
        <v>High Street</v>
      </c>
      <c r="E134" s="13">
        <f>Dummy_Variables!P134</f>
        <v>801830.35</v>
      </c>
      <c r="F134" s="13">
        <f>Multiple_Regression!$B$44+Multiple_Regression!$B$45*Dummy_Variables!E134+Multiple_Regression!$B$46*Dummy_Variables!F134+Multiple_Regression!$B$47*Dummy_Variables!G134+Multiple_Regression!$B$48*Dummy_Variables!H134+Multiple_Regression!$B$49*Dummy_Variables!I134+Multiple_Regression!$B$50*Dummy_Variables!J134+Multiple_Regression!$B$51*Dummy_Variables!K134+Multiple_Regression!$B$52*Dummy_Variables!L134+Multiple_Regression!$B$53*Dummy_Variables!M134+Multiple_Regression!$B$54*Dummy_Variables!N134</f>
        <v>816710.632345433</v>
      </c>
      <c r="G134" s="13">
        <f t="shared" si="4"/>
        <v>-14880.282345433021</v>
      </c>
      <c r="H134" s="13">
        <f t="shared" si="5"/>
        <v>14880.282345433021</v>
      </c>
    </row>
    <row r="135" spans="1:8" x14ac:dyDescent="0.35">
      <c r="A135" s="4" t="str">
        <f>Dummy_Variables!A135</f>
        <v>STR-1033</v>
      </c>
      <c r="B135" s="12">
        <f>Dummy_Variables!B135</f>
        <v>45717</v>
      </c>
      <c r="C135" s="4" t="str">
        <f>Dummy_Variables!C135</f>
        <v>East</v>
      </c>
      <c r="D135" s="4" t="str">
        <f>Dummy_Variables!D135</f>
        <v>High Street</v>
      </c>
      <c r="E135" s="13">
        <f>Dummy_Variables!P135</f>
        <v>725235.28</v>
      </c>
      <c r="F135" s="13">
        <f>Multiple_Regression!$B$44+Multiple_Regression!$B$45*Dummy_Variables!E135+Multiple_Regression!$B$46*Dummy_Variables!F135+Multiple_Regression!$B$47*Dummy_Variables!G135+Multiple_Regression!$B$48*Dummy_Variables!H135+Multiple_Regression!$B$49*Dummy_Variables!I135+Multiple_Regression!$B$50*Dummy_Variables!J135+Multiple_Regression!$B$51*Dummy_Variables!K135+Multiple_Regression!$B$52*Dummy_Variables!L135+Multiple_Regression!$B$53*Dummy_Variables!M135+Multiple_Regression!$B$54*Dummy_Variables!N135</f>
        <v>808530.54477126757</v>
      </c>
      <c r="G135" s="13">
        <f t="shared" si="4"/>
        <v>-83295.264771267539</v>
      </c>
      <c r="H135" s="13">
        <f t="shared" si="5"/>
        <v>83295.264771267539</v>
      </c>
    </row>
    <row r="136" spans="1:8" x14ac:dyDescent="0.35">
      <c r="A136" s="4" t="str">
        <f>Dummy_Variables!A136</f>
        <v>STR-1033</v>
      </c>
      <c r="B136" s="12">
        <f>Dummy_Variables!B136</f>
        <v>45748</v>
      </c>
      <c r="C136" s="4" t="str">
        <f>Dummy_Variables!C136</f>
        <v>East</v>
      </c>
      <c r="D136" s="4" t="str">
        <f>Dummy_Variables!D136</f>
        <v>High Street</v>
      </c>
      <c r="E136" s="13">
        <f>Dummy_Variables!P136</f>
        <v>811452.72</v>
      </c>
      <c r="F136" s="13">
        <f>Multiple_Regression!$B$44+Multiple_Regression!$B$45*Dummy_Variables!E136+Multiple_Regression!$B$46*Dummy_Variables!F136+Multiple_Regression!$B$47*Dummy_Variables!G136+Multiple_Regression!$B$48*Dummy_Variables!H136+Multiple_Regression!$B$49*Dummy_Variables!I136+Multiple_Regression!$B$50*Dummy_Variables!J136+Multiple_Regression!$B$51*Dummy_Variables!K136+Multiple_Regression!$B$52*Dummy_Variables!L136+Multiple_Regression!$B$53*Dummy_Variables!M136+Multiple_Regression!$B$54*Dummy_Variables!N136</f>
        <v>817661.18028486148</v>
      </c>
      <c r="G136" s="13">
        <f t="shared" si="4"/>
        <v>-6208.4602848615032</v>
      </c>
      <c r="H136" s="13">
        <f t="shared" si="5"/>
        <v>6208.4602848615032</v>
      </c>
    </row>
    <row r="137" spans="1:8" x14ac:dyDescent="0.35">
      <c r="A137" s="4" t="str">
        <f>Dummy_Variables!A137</f>
        <v>STR-1034</v>
      </c>
      <c r="B137" s="12">
        <f>Dummy_Variables!B137</f>
        <v>45658</v>
      </c>
      <c r="C137" s="4" t="str">
        <f>Dummy_Variables!C137</f>
        <v>North</v>
      </c>
      <c r="D137" s="4" t="str">
        <f>Dummy_Variables!D137</f>
        <v>High Street</v>
      </c>
      <c r="E137" s="13">
        <f>Dummy_Variables!P137</f>
        <v>527300.13</v>
      </c>
      <c r="F137" s="13">
        <f>Multiple_Regression!$B$44+Multiple_Regression!$B$45*Dummy_Variables!E137+Multiple_Regression!$B$46*Dummy_Variables!F137+Multiple_Regression!$B$47*Dummy_Variables!G137+Multiple_Regression!$B$48*Dummy_Variables!H137+Multiple_Regression!$B$49*Dummy_Variables!I137+Multiple_Regression!$B$50*Dummy_Variables!J137+Multiple_Regression!$B$51*Dummy_Variables!K137+Multiple_Regression!$B$52*Dummy_Variables!L137+Multiple_Regression!$B$53*Dummy_Variables!M137+Multiple_Regression!$B$54*Dummy_Variables!N137</f>
        <v>587833.30435965233</v>
      </c>
      <c r="G137" s="13">
        <f t="shared" si="4"/>
        <v>-60533.17435965233</v>
      </c>
      <c r="H137" s="13">
        <f t="shared" si="5"/>
        <v>60533.17435965233</v>
      </c>
    </row>
    <row r="138" spans="1:8" x14ac:dyDescent="0.35">
      <c r="A138" s="4" t="str">
        <f>Dummy_Variables!A138</f>
        <v>STR-1034</v>
      </c>
      <c r="B138" s="12">
        <f>Dummy_Variables!B138</f>
        <v>45689</v>
      </c>
      <c r="C138" s="4" t="str">
        <f>Dummy_Variables!C138</f>
        <v>North</v>
      </c>
      <c r="D138" s="4" t="str">
        <f>Dummy_Variables!D138</f>
        <v>High Street</v>
      </c>
      <c r="E138" s="13">
        <f>Dummy_Variables!P138</f>
        <v>400831.65</v>
      </c>
      <c r="F138" s="13">
        <f>Multiple_Regression!$B$44+Multiple_Regression!$B$45*Dummy_Variables!E138+Multiple_Regression!$B$46*Dummy_Variables!F138+Multiple_Regression!$B$47*Dummy_Variables!G138+Multiple_Regression!$B$48*Dummy_Variables!H138+Multiple_Regression!$B$49*Dummy_Variables!I138+Multiple_Regression!$B$50*Dummy_Variables!J138+Multiple_Regression!$B$51*Dummy_Variables!K138+Multiple_Regression!$B$52*Dummy_Variables!L138+Multiple_Regression!$B$53*Dummy_Variables!M138+Multiple_Regression!$B$54*Dummy_Variables!N138</f>
        <v>463923.03955421667</v>
      </c>
      <c r="G138" s="13">
        <f t="shared" si="4"/>
        <v>-63091.389554216643</v>
      </c>
      <c r="H138" s="13">
        <f t="shared" si="5"/>
        <v>63091.389554216643</v>
      </c>
    </row>
    <row r="139" spans="1:8" x14ac:dyDescent="0.35">
      <c r="A139" s="4" t="str">
        <f>Dummy_Variables!A139</f>
        <v>STR-1034</v>
      </c>
      <c r="B139" s="12">
        <f>Dummy_Variables!B139</f>
        <v>45717</v>
      </c>
      <c r="C139" s="4" t="str">
        <f>Dummy_Variables!C139</f>
        <v>North</v>
      </c>
      <c r="D139" s="4" t="str">
        <f>Dummy_Variables!D139</f>
        <v>High Street</v>
      </c>
      <c r="E139" s="13">
        <f>Dummy_Variables!P139</f>
        <v>593247.25</v>
      </c>
      <c r="F139" s="13">
        <f>Multiple_Regression!$B$44+Multiple_Regression!$B$45*Dummy_Variables!E139+Multiple_Regression!$B$46*Dummy_Variables!F139+Multiple_Regression!$B$47*Dummy_Variables!G139+Multiple_Regression!$B$48*Dummy_Variables!H139+Multiple_Regression!$B$49*Dummy_Variables!I139+Multiple_Regression!$B$50*Dummy_Variables!J139+Multiple_Regression!$B$51*Dummy_Variables!K139+Multiple_Regression!$B$52*Dummy_Variables!L139+Multiple_Regression!$B$53*Dummy_Variables!M139+Multiple_Regression!$B$54*Dummy_Variables!N139</f>
        <v>616740.53685497795</v>
      </c>
      <c r="G139" s="13">
        <f t="shared" si="4"/>
        <v>-23493.286854977952</v>
      </c>
      <c r="H139" s="13">
        <f t="shared" si="5"/>
        <v>23493.286854977952</v>
      </c>
    </row>
    <row r="140" spans="1:8" x14ac:dyDescent="0.35">
      <c r="A140" s="4" t="str">
        <f>Dummy_Variables!A140</f>
        <v>STR-1034</v>
      </c>
      <c r="B140" s="12">
        <f>Dummy_Variables!B140</f>
        <v>45748</v>
      </c>
      <c r="C140" s="4" t="str">
        <f>Dummy_Variables!C140</f>
        <v>North</v>
      </c>
      <c r="D140" s="4" t="str">
        <f>Dummy_Variables!D140</f>
        <v>High Street</v>
      </c>
      <c r="E140" s="13">
        <f>Dummy_Variables!P140</f>
        <v>529075.94999999995</v>
      </c>
      <c r="F140" s="13">
        <f>Multiple_Regression!$B$44+Multiple_Regression!$B$45*Dummy_Variables!E140+Multiple_Regression!$B$46*Dummy_Variables!F140+Multiple_Regression!$B$47*Dummy_Variables!G140+Multiple_Regression!$B$48*Dummy_Variables!H140+Multiple_Regression!$B$49*Dummy_Variables!I140+Multiple_Regression!$B$50*Dummy_Variables!J140+Multiple_Regression!$B$51*Dummy_Variables!K140+Multiple_Regression!$B$52*Dummy_Variables!L140+Multiple_Regression!$B$53*Dummy_Variables!M140+Multiple_Regression!$B$54*Dummy_Variables!N140</f>
        <v>556359.6081491824</v>
      </c>
      <c r="G140" s="13">
        <f t="shared" si="4"/>
        <v>-27283.658149182447</v>
      </c>
      <c r="H140" s="13">
        <f t="shared" si="5"/>
        <v>27283.658149182447</v>
      </c>
    </row>
    <row r="141" spans="1:8" x14ac:dyDescent="0.35">
      <c r="A141" s="4" t="str">
        <f>Dummy_Variables!A141</f>
        <v>STR-1035</v>
      </c>
      <c r="B141" s="12">
        <f>Dummy_Variables!B141</f>
        <v>45658</v>
      </c>
      <c r="C141" s="4" t="str">
        <f>Dummy_Variables!C141</f>
        <v>South</v>
      </c>
      <c r="D141" s="4" t="str">
        <f>Dummy_Variables!D141</f>
        <v>Residential</v>
      </c>
      <c r="E141" s="13">
        <f>Dummy_Variables!P141</f>
        <v>633638.03</v>
      </c>
      <c r="F141" s="13">
        <f>Multiple_Regression!$B$44+Multiple_Regression!$B$45*Dummy_Variables!E141+Multiple_Regression!$B$46*Dummy_Variables!F141+Multiple_Regression!$B$47*Dummy_Variables!G141+Multiple_Regression!$B$48*Dummy_Variables!H141+Multiple_Regression!$B$49*Dummy_Variables!I141+Multiple_Regression!$B$50*Dummy_Variables!J141+Multiple_Regression!$B$51*Dummy_Variables!K141+Multiple_Regression!$B$52*Dummy_Variables!L141+Multiple_Regression!$B$53*Dummy_Variables!M141+Multiple_Regression!$B$54*Dummy_Variables!N141</f>
        <v>698615.97813620605</v>
      </c>
      <c r="G141" s="13">
        <f t="shared" si="4"/>
        <v>-64977.948136206018</v>
      </c>
      <c r="H141" s="13">
        <f t="shared" si="5"/>
        <v>64977.948136206018</v>
      </c>
    </row>
    <row r="142" spans="1:8" x14ac:dyDescent="0.35">
      <c r="A142" s="4" t="str">
        <f>Dummy_Variables!A142</f>
        <v>STR-1035</v>
      </c>
      <c r="B142" s="12">
        <f>Dummy_Variables!B142</f>
        <v>45689</v>
      </c>
      <c r="C142" s="4" t="str">
        <f>Dummy_Variables!C142</f>
        <v>South</v>
      </c>
      <c r="D142" s="4" t="str">
        <f>Dummy_Variables!D142</f>
        <v>Residential</v>
      </c>
      <c r="E142" s="13">
        <f>Dummy_Variables!P142</f>
        <v>743348.84</v>
      </c>
      <c r="F142" s="13">
        <f>Multiple_Regression!$B$44+Multiple_Regression!$B$45*Dummy_Variables!E142+Multiple_Regression!$B$46*Dummy_Variables!F142+Multiple_Regression!$B$47*Dummy_Variables!G142+Multiple_Regression!$B$48*Dummy_Variables!H142+Multiple_Regression!$B$49*Dummy_Variables!I142+Multiple_Regression!$B$50*Dummy_Variables!J142+Multiple_Regression!$B$51*Dummy_Variables!K142+Multiple_Regression!$B$52*Dummy_Variables!L142+Multiple_Regression!$B$53*Dummy_Variables!M142+Multiple_Regression!$B$54*Dummy_Variables!N142</f>
        <v>688634.98666793667</v>
      </c>
      <c r="G142" s="13">
        <f t="shared" si="4"/>
        <v>54713.8533320633</v>
      </c>
      <c r="H142" s="13">
        <f t="shared" si="5"/>
        <v>54713.8533320633</v>
      </c>
    </row>
    <row r="143" spans="1:8" x14ac:dyDescent="0.35">
      <c r="A143" s="4" t="str">
        <f>Dummy_Variables!A143</f>
        <v>STR-1035</v>
      </c>
      <c r="B143" s="12">
        <f>Dummy_Variables!B143</f>
        <v>45717</v>
      </c>
      <c r="C143" s="4" t="str">
        <f>Dummy_Variables!C143</f>
        <v>South</v>
      </c>
      <c r="D143" s="4" t="str">
        <f>Dummy_Variables!D143</f>
        <v>Residential</v>
      </c>
      <c r="E143" s="13">
        <f>Dummy_Variables!P143</f>
        <v>758827.64</v>
      </c>
      <c r="F143" s="13">
        <f>Multiple_Regression!$B$44+Multiple_Regression!$B$45*Dummy_Variables!E143+Multiple_Regression!$B$46*Dummy_Variables!F143+Multiple_Regression!$B$47*Dummy_Variables!G143+Multiple_Regression!$B$48*Dummy_Variables!H143+Multiple_Regression!$B$49*Dummy_Variables!I143+Multiple_Regression!$B$50*Dummy_Variables!J143+Multiple_Regression!$B$51*Dummy_Variables!K143+Multiple_Regression!$B$52*Dummy_Variables!L143+Multiple_Regression!$B$53*Dummy_Variables!M143+Multiple_Regression!$B$54*Dummy_Variables!N143</f>
        <v>696240.75662505766</v>
      </c>
      <c r="G143" s="13">
        <f t="shared" si="4"/>
        <v>62586.88337494235</v>
      </c>
      <c r="H143" s="13">
        <f t="shared" si="5"/>
        <v>62586.88337494235</v>
      </c>
    </row>
    <row r="144" spans="1:8" x14ac:dyDescent="0.35">
      <c r="A144" s="4" t="str">
        <f>Dummy_Variables!A144</f>
        <v>STR-1035</v>
      </c>
      <c r="B144" s="12">
        <f>Dummy_Variables!B144</f>
        <v>45748</v>
      </c>
      <c r="C144" s="4" t="str">
        <f>Dummy_Variables!C144</f>
        <v>South</v>
      </c>
      <c r="D144" s="4" t="str">
        <f>Dummy_Variables!D144</f>
        <v>Residential</v>
      </c>
      <c r="E144" s="13">
        <f>Dummy_Variables!P144</f>
        <v>646559.71</v>
      </c>
      <c r="F144" s="13">
        <f>Multiple_Regression!$B$44+Multiple_Regression!$B$45*Dummy_Variables!E144+Multiple_Regression!$B$46*Dummy_Variables!F144+Multiple_Regression!$B$47*Dummy_Variables!G144+Multiple_Regression!$B$48*Dummy_Variables!H144+Multiple_Regression!$B$49*Dummy_Variables!I144+Multiple_Regression!$B$50*Dummy_Variables!J144+Multiple_Regression!$B$51*Dummy_Variables!K144+Multiple_Regression!$B$52*Dummy_Variables!L144+Multiple_Regression!$B$53*Dummy_Variables!M144+Multiple_Regression!$B$54*Dummy_Variables!N144</f>
        <v>612219.29943489679</v>
      </c>
      <c r="G144" s="13">
        <f t="shared" si="4"/>
        <v>34340.410565103171</v>
      </c>
      <c r="H144" s="13">
        <f t="shared" si="5"/>
        <v>34340.410565103171</v>
      </c>
    </row>
    <row r="145" spans="1:8" x14ac:dyDescent="0.35">
      <c r="A145" s="4" t="str">
        <f>Dummy_Variables!A145</f>
        <v>STR-1036</v>
      </c>
      <c r="B145" s="12">
        <f>Dummy_Variables!B145</f>
        <v>45658</v>
      </c>
      <c r="C145" s="4" t="str">
        <f>Dummy_Variables!C145</f>
        <v>West</v>
      </c>
      <c r="D145" s="4" t="str">
        <f>Dummy_Variables!D145</f>
        <v>High Street</v>
      </c>
      <c r="E145" s="13">
        <f>Dummy_Variables!P145</f>
        <v>715890.53</v>
      </c>
      <c r="F145" s="13">
        <f>Multiple_Regression!$B$44+Multiple_Regression!$B$45*Dummy_Variables!E145+Multiple_Regression!$B$46*Dummy_Variables!F145+Multiple_Regression!$B$47*Dummy_Variables!G145+Multiple_Regression!$B$48*Dummy_Variables!H145+Multiple_Regression!$B$49*Dummy_Variables!I145+Multiple_Regression!$B$50*Dummy_Variables!J145+Multiple_Regression!$B$51*Dummy_Variables!K145+Multiple_Regression!$B$52*Dummy_Variables!L145+Multiple_Regression!$B$53*Dummy_Variables!M145+Multiple_Regression!$B$54*Dummy_Variables!N145</f>
        <v>678338.46046720422</v>
      </c>
      <c r="G145" s="13">
        <f t="shared" si="4"/>
        <v>37552.069532795809</v>
      </c>
      <c r="H145" s="13">
        <f t="shared" si="5"/>
        <v>37552.069532795809</v>
      </c>
    </row>
    <row r="146" spans="1:8" x14ac:dyDescent="0.35">
      <c r="A146" s="4" t="str">
        <f>Dummy_Variables!A146</f>
        <v>STR-1036</v>
      </c>
      <c r="B146" s="12">
        <f>Dummy_Variables!B146</f>
        <v>45689</v>
      </c>
      <c r="C146" s="4" t="str">
        <f>Dummy_Variables!C146</f>
        <v>West</v>
      </c>
      <c r="D146" s="4" t="str">
        <f>Dummy_Variables!D146</f>
        <v>High Street</v>
      </c>
      <c r="E146" s="13">
        <f>Dummy_Variables!P146</f>
        <v>715097.57</v>
      </c>
      <c r="F146" s="13">
        <f>Multiple_Regression!$B$44+Multiple_Regression!$B$45*Dummy_Variables!E146+Multiple_Regression!$B$46*Dummy_Variables!F146+Multiple_Regression!$B$47*Dummy_Variables!G146+Multiple_Regression!$B$48*Dummy_Variables!H146+Multiple_Regression!$B$49*Dummy_Variables!I146+Multiple_Regression!$B$50*Dummy_Variables!J146+Multiple_Regression!$B$51*Dummy_Variables!K146+Multiple_Regression!$B$52*Dummy_Variables!L146+Multiple_Regression!$B$53*Dummy_Variables!M146+Multiple_Regression!$B$54*Dummy_Variables!N146</f>
        <v>702748.3795236015</v>
      </c>
      <c r="G146" s="13">
        <f t="shared" si="4"/>
        <v>12349.190476398449</v>
      </c>
      <c r="H146" s="13">
        <f t="shared" si="5"/>
        <v>12349.190476398449</v>
      </c>
    </row>
    <row r="147" spans="1:8" x14ac:dyDescent="0.35">
      <c r="A147" s="4" t="str">
        <f>Dummy_Variables!A147</f>
        <v>STR-1036</v>
      </c>
      <c r="B147" s="12">
        <f>Dummy_Variables!B147</f>
        <v>45717</v>
      </c>
      <c r="C147" s="4" t="str">
        <f>Dummy_Variables!C147</f>
        <v>West</v>
      </c>
      <c r="D147" s="4" t="str">
        <f>Dummy_Variables!D147</f>
        <v>High Street</v>
      </c>
      <c r="E147" s="13">
        <f>Dummy_Variables!P147</f>
        <v>682639.28</v>
      </c>
      <c r="F147" s="13">
        <f>Multiple_Regression!$B$44+Multiple_Regression!$B$45*Dummy_Variables!E147+Multiple_Regression!$B$46*Dummy_Variables!F147+Multiple_Regression!$B$47*Dummy_Variables!G147+Multiple_Regression!$B$48*Dummy_Variables!H147+Multiple_Regression!$B$49*Dummy_Variables!I147+Multiple_Regression!$B$50*Dummy_Variables!J147+Multiple_Regression!$B$51*Dummy_Variables!K147+Multiple_Regression!$B$52*Dummy_Variables!L147+Multiple_Regression!$B$53*Dummy_Variables!M147+Multiple_Regression!$B$54*Dummy_Variables!N147</f>
        <v>640448.68439112988</v>
      </c>
      <c r="G147" s="13">
        <f t="shared" si="4"/>
        <v>42190.59560887015</v>
      </c>
      <c r="H147" s="13">
        <f t="shared" si="5"/>
        <v>42190.59560887015</v>
      </c>
    </row>
    <row r="148" spans="1:8" x14ac:dyDescent="0.35">
      <c r="A148" s="4" t="str">
        <f>Dummy_Variables!A148</f>
        <v>STR-1036</v>
      </c>
      <c r="B148" s="12">
        <f>Dummy_Variables!B148</f>
        <v>45748</v>
      </c>
      <c r="C148" s="4" t="str">
        <f>Dummy_Variables!C148</f>
        <v>West</v>
      </c>
      <c r="D148" s="4" t="str">
        <f>Dummy_Variables!D148</f>
        <v>High Street</v>
      </c>
      <c r="E148" s="13">
        <f>Dummy_Variables!P148</f>
        <v>695098.51</v>
      </c>
      <c r="F148" s="13">
        <f>Multiple_Regression!$B$44+Multiple_Regression!$B$45*Dummy_Variables!E148+Multiple_Regression!$B$46*Dummy_Variables!F148+Multiple_Regression!$B$47*Dummy_Variables!G148+Multiple_Regression!$B$48*Dummy_Variables!H148+Multiple_Regression!$B$49*Dummy_Variables!I148+Multiple_Regression!$B$50*Dummy_Variables!J148+Multiple_Regression!$B$51*Dummy_Variables!K148+Multiple_Regression!$B$52*Dummy_Variables!L148+Multiple_Regression!$B$53*Dummy_Variables!M148+Multiple_Regression!$B$54*Dummy_Variables!N148</f>
        <v>654923.51186621899</v>
      </c>
      <c r="G148" s="13">
        <f t="shared" si="4"/>
        <v>40174.998133781017</v>
      </c>
      <c r="H148" s="13">
        <f t="shared" si="5"/>
        <v>40174.998133781017</v>
      </c>
    </row>
    <row r="149" spans="1:8" x14ac:dyDescent="0.35">
      <c r="A149" s="4" t="str">
        <f>Dummy_Variables!A149</f>
        <v>STR-1037</v>
      </c>
      <c r="B149" s="12">
        <f>Dummy_Variables!B149</f>
        <v>45658</v>
      </c>
      <c r="C149" s="4" t="str">
        <f>Dummy_Variables!C149</f>
        <v>North</v>
      </c>
      <c r="D149" s="4" t="str">
        <f>Dummy_Variables!D149</f>
        <v>Residential</v>
      </c>
      <c r="E149" s="13">
        <f>Dummy_Variables!P149</f>
        <v>577732.56999999995</v>
      </c>
      <c r="F149" s="13">
        <f>Multiple_Regression!$B$44+Multiple_Regression!$B$45*Dummy_Variables!E149+Multiple_Regression!$B$46*Dummy_Variables!F149+Multiple_Regression!$B$47*Dummy_Variables!G149+Multiple_Regression!$B$48*Dummy_Variables!H149+Multiple_Regression!$B$49*Dummy_Variables!I149+Multiple_Regression!$B$50*Dummy_Variables!J149+Multiple_Regression!$B$51*Dummy_Variables!K149+Multiple_Regression!$B$52*Dummy_Variables!L149+Multiple_Regression!$B$53*Dummy_Variables!M149+Multiple_Regression!$B$54*Dummy_Variables!N149</f>
        <v>599500.85281326366</v>
      </c>
      <c r="G149" s="13">
        <f t="shared" si="4"/>
        <v>-21768.282813263708</v>
      </c>
      <c r="H149" s="13">
        <f t="shared" si="5"/>
        <v>21768.282813263708</v>
      </c>
    </row>
    <row r="150" spans="1:8" x14ac:dyDescent="0.35">
      <c r="A150" s="4" t="str">
        <f>Dummy_Variables!A150</f>
        <v>STR-1037</v>
      </c>
      <c r="B150" s="12">
        <f>Dummy_Variables!B150</f>
        <v>45689</v>
      </c>
      <c r="C150" s="4" t="str">
        <f>Dummy_Variables!C150</f>
        <v>North</v>
      </c>
      <c r="D150" s="4" t="str">
        <f>Dummy_Variables!D150</f>
        <v>Residential</v>
      </c>
      <c r="E150" s="13">
        <f>Dummy_Variables!P150</f>
        <v>537058.32999999996</v>
      </c>
      <c r="F150" s="13">
        <f>Multiple_Regression!$B$44+Multiple_Regression!$B$45*Dummy_Variables!E150+Multiple_Regression!$B$46*Dummy_Variables!F150+Multiple_Regression!$B$47*Dummy_Variables!G150+Multiple_Regression!$B$48*Dummy_Variables!H150+Multiple_Regression!$B$49*Dummy_Variables!I150+Multiple_Regression!$B$50*Dummy_Variables!J150+Multiple_Regression!$B$51*Dummy_Variables!K150+Multiple_Regression!$B$52*Dummy_Variables!L150+Multiple_Regression!$B$53*Dummy_Variables!M150+Multiple_Regression!$B$54*Dummy_Variables!N150</f>
        <v>535936.84670459374</v>
      </c>
      <c r="G150" s="13">
        <f t="shared" si="4"/>
        <v>1121.4832954062149</v>
      </c>
      <c r="H150" s="13">
        <f t="shared" si="5"/>
        <v>1121.4832954062149</v>
      </c>
    </row>
    <row r="151" spans="1:8" x14ac:dyDescent="0.35">
      <c r="A151" s="4" t="str">
        <f>Dummy_Variables!A151</f>
        <v>STR-1037</v>
      </c>
      <c r="B151" s="12">
        <f>Dummy_Variables!B151</f>
        <v>45717</v>
      </c>
      <c r="C151" s="4" t="str">
        <f>Dummy_Variables!C151</f>
        <v>North</v>
      </c>
      <c r="D151" s="4" t="str">
        <f>Dummy_Variables!D151</f>
        <v>Residential</v>
      </c>
      <c r="E151" s="13">
        <f>Dummy_Variables!P151</f>
        <v>601568.87</v>
      </c>
      <c r="F151" s="13">
        <f>Multiple_Regression!$B$44+Multiple_Regression!$B$45*Dummy_Variables!E151+Multiple_Regression!$B$46*Dummy_Variables!F151+Multiple_Regression!$B$47*Dummy_Variables!G151+Multiple_Regression!$B$48*Dummy_Variables!H151+Multiple_Regression!$B$49*Dummy_Variables!I151+Multiple_Regression!$B$50*Dummy_Variables!J151+Multiple_Regression!$B$51*Dummy_Variables!K151+Multiple_Regression!$B$52*Dummy_Variables!L151+Multiple_Regression!$B$53*Dummy_Variables!M151+Multiple_Regression!$B$54*Dummy_Variables!N151</f>
        <v>584051.30681363924</v>
      </c>
      <c r="G151" s="13">
        <f t="shared" si="4"/>
        <v>17517.563186360756</v>
      </c>
      <c r="H151" s="13">
        <f t="shared" si="5"/>
        <v>17517.563186360756</v>
      </c>
    </row>
    <row r="152" spans="1:8" x14ac:dyDescent="0.35">
      <c r="A152" s="4" t="str">
        <f>Dummy_Variables!A152</f>
        <v>STR-1037</v>
      </c>
      <c r="B152" s="12">
        <f>Dummy_Variables!B152</f>
        <v>45748</v>
      </c>
      <c r="C152" s="4" t="str">
        <f>Dummy_Variables!C152</f>
        <v>North</v>
      </c>
      <c r="D152" s="4" t="str">
        <f>Dummy_Variables!D152</f>
        <v>Residential</v>
      </c>
      <c r="E152" s="13">
        <f>Dummy_Variables!P152</f>
        <v>570964.84</v>
      </c>
      <c r="F152" s="13">
        <f>Multiple_Regression!$B$44+Multiple_Regression!$B$45*Dummy_Variables!E152+Multiple_Regression!$B$46*Dummy_Variables!F152+Multiple_Regression!$B$47*Dummy_Variables!G152+Multiple_Regression!$B$48*Dummy_Variables!H152+Multiple_Regression!$B$49*Dummy_Variables!I152+Multiple_Regression!$B$50*Dummy_Variables!J152+Multiple_Regression!$B$51*Dummy_Variables!K152+Multiple_Regression!$B$52*Dummy_Variables!L152+Multiple_Regression!$B$53*Dummy_Variables!M152+Multiple_Regression!$B$54*Dummy_Variables!N152</f>
        <v>554567.12382087018</v>
      </c>
      <c r="G152" s="13">
        <f t="shared" si="4"/>
        <v>16397.716179129784</v>
      </c>
      <c r="H152" s="13">
        <f t="shared" si="5"/>
        <v>16397.716179129784</v>
      </c>
    </row>
    <row r="153" spans="1:8" x14ac:dyDescent="0.35">
      <c r="A153" s="4" t="str">
        <f>Dummy_Variables!A153</f>
        <v>STR-1038</v>
      </c>
      <c r="B153" s="12">
        <f>Dummy_Variables!B153</f>
        <v>45658</v>
      </c>
      <c r="C153" s="4" t="str">
        <f>Dummy_Variables!C153</f>
        <v>South</v>
      </c>
      <c r="D153" s="4" t="str">
        <f>Dummy_Variables!D153</f>
        <v>Mall</v>
      </c>
      <c r="E153" s="13">
        <f>Dummy_Variables!P153</f>
        <v>614024.91</v>
      </c>
      <c r="F153" s="13">
        <f>Multiple_Regression!$B$44+Multiple_Regression!$B$45*Dummy_Variables!E153+Multiple_Regression!$B$46*Dummy_Variables!F153+Multiple_Regression!$B$47*Dummy_Variables!G153+Multiple_Regression!$B$48*Dummy_Variables!H153+Multiple_Regression!$B$49*Dummy_Variables!I153+Multiple_Regression!$B$50*Dummy_Variables!J153+Multiple_Regression!$B$51*Dummy_Variables!K153+Multiple_Regression!$B$52*Dummy_Variables!L153+Multiple_Regression!$B$53*Dummy_Variables!M153+Multiple_Regression!$B$54*Dummy_Variables!N153</f>
        <v>600061.94236088987</v>
      </c>
      <c r="G153" s="13">
        <f t="shared" si="4"/>
        <v>13962.967639110168</v>
      </c>
      <c r="H153" s="13">
        <f t="shared" si="5"/>
        <v>13962.967639110168</v>
      </c>
    </row>
    <row r="154" spans="1:8" x14ac:dyDescent="0.35">
      <c r="A154" s="4" t="str">
        <f>Dummy_Variables!A154</f>
        <v>STR-1038</v>
      </c>
      <c r="B154" s="12">
        <f>Dummy_Variables!B154</f>
        <v>45689</v>
      </c>
      <c r="C154" s="4" t="str">
        <f>Dummy_Variables!C154</f>
        <v>South</v>
      </c>
      <c r="D154" s="4" t="str">
        <f>Dummy_Variables!D154</f>
        <v>Mall</v>
      </c>
      <c r="E154" s="13">
        <f>Dummy_Variables!P154</f>
        <v>712868.35</v>
      </c>
      <c r="F154" s="13">
        <f>Multiple_Regression!$B$44+Multiple_Regression!$B$45*Dummy_Variables!E154+Multiple_Regression!$B$46*Dummy_Variables!F154+Multiple_Regression!$B$47*Dummy_Variables!G154+Multiple_Regression!$B$48*Dummy_Variables!H154+Multiple_Regression!$B$49*Dummy_Variables!I154+Multiple_Regression!$B$50*Dummy_Variables!J154+Multiple_Regression!$B$51*Dummy_Variables!K154+Multiple_Regression!$B$52*Dummy_Variables!L154+Multiple_Regression!$B$53*Dummy_Variables!M154+Multiple_Regression!$B$54*Dummy_Variables!N154</f>
        <v>712409.60283366998</v>
      </c>
      <c r="G154" s="13">
        <f t="shared" si="4"/>
        <v>458.7471663299948</v>
      </c>
      <c r="H154" s="13">
        <f t="shared" si="5"/>
        <v>458.7471663299948</v>
      </c>
    </row>
    <row r="155" spans="1:8" x14ac:dyDescent="0.35">
      <c r="A155" s="4" t="str">
        <f>Dummy_Variables!A155</f>
        <v>STR-1038</v>
      </c>
      <c r="B155" s="12">
        <f>Dummy_Variables!B155</f>
        <v>45717</v>
      </c>
      <c r="C155" s="4" t="str">
        <f>Dummy_Variables!C155</f>
        <v>South</v>
      </c>
      <c r="D155" s="4" t="str">
        <f>Dummy_Variables!D155</f>
        <v>Mall</v>
      </c>
      <c r="E155" s="13">
        <f>Dummy_Variables!P155</f>
        <v>696744.15</v>
      </c>
      <c r="F155" s="13">
        <f>Multiple_Regression!$B$44+Multiple_Regression!$B$45*Dummy_Variables!E155+Multiple_Regression!$B$46*Dummy_Variables!F155+Multiple_Regression!$B$47*Dummy_Variables!G155+Multiple_Regression!$B$48*Dummy_Variables!H155+Multiple_Regression!$B$49*Dummy_Variables!I155+Multiple_Regression!$B$50*Dummy_Variables!J155+Multiple_Regression!$B$51*Dummy_Variables!K155+Multiple_Regression!$B$52*Dummy_Variables!L155+Multiple_Regression!$B$53*Dummy_Variables!M155+Multiple_Regression!$B$54*Dummy_Variables!N155</f>
        <v>684525.39114828641</v>
      </c>
      <c r="G155" s="13">
        <f t="shared" si="4"/>
        <v>12218.758851713617</v>
      </c>
      <c r="H155" s="13">
        <f t="shared" si="5"/>
        <v>12218.758851713617</v>
      </c>
    </row>
    <row r="156" spans="1:8" x14ac:dyDescent="0.35">
      <c r="A156" s="4" t="str">
        <f>Dummy_Variables!A156</f>
        <v>STR-1038</v>
      </c>
      <c r="B156" s="12">
        <f>Dummy_Variables!B156</f>
        <v>45748</v>
      </c>
      <c r="C156" s="4" t="str">
        <f>Dummy_Variables!C156</f>
        <v>South</v>
      </c>
      <c r="D156" s="4" t="str">
        <f>Dummy_Variables!D156</f>
        <v>Mall</v>
      </c>
      <c r="E156" s="13">
        <f>Dummy_Variables!P156</f>
        <v>725847.99</v>
      </c>
      <c r="F156" s="13">
        <f>Multiple_Regression!$B$44+Multiple_Regression!$B$45*Dummy_Variables!E156+Multiple_Regression!$B$46*Dummy_Variables!F156+Multiple_Regression!$B$47*Dummy_Variables!G156+Multiple_Regression!$B$48*Dummy_Variables!H156+Multiple_Regression!$B$49*Dummy_Variables!I156+Multiple_Regression!$B$50*Dummy_Variables!J156+Multiple_Regression!$B$51*Dummy_Variables!K156+Multiple_Regression!$B$52*Dummy_Variables!L156+Multiple_Regression!$B$53*Dummy_Variables!M156+Multiple_Regression!$B$54*Dummy_Variables!N156</f>
        <v>708345.11571236479</v>
      </c>
      <c r="G156" s="13">
        <f t="shared" si="4"/>
        <v>17502.874287635204</v>
      </c>
      <c r="H156" s="13">
        <f t="shared" si="5"/>
        <v>17502.874287635204</v>
      </c>
    </row>
    <row r="157" spans="1:8" x14ac:dyDescent="0.35">
      <c r="A157" s="4" t="str">
        <f>Dummy_Variables!A157</f>
        <v>STR-1039</v>
      </c>
      <c r="B157" s="12">
        <f>Dummy_Variables!B157</f>
        <v>45658</v>
      </c>
      <c r="C157" s="4" t="str">
        <f>Dummy_Variables!C157</f>
        <v>East</v>
      </c>
      <c r="D157" s="4" t="str">
        <f>Dummy_Variables!D157</f>
        <v>High Street</v>
      </c>
      <c r="E157" s="13">
        <f>Dummy_Variables!P157</f>
        <v>785028.25</v>
      </c>
      <c r="F157" s="13">
        <f>Multiple_Regression!$B$44+Multiple_Regression!$B$45*Dummy_Variables!E157+Multiple_Regression!$B$46*Dummy_Variables!F157+Multiple_Regression!$B$47*Dummy_Variables!G157+Multiple_Regression!$B$48*Dummy_Variables!H157+Multiple_Regression!$B$49*Dummy_Variables!I157+Multiple_Regression!$B$50*Dummy_Variables!J157+Multiple_Regression!$B$51*Dummy_Variables!K157+Multiple_Regression!$B$52*Dummy_Variables!L157+Multiple_Regression!$B$53*Dummy_Variables!M157+Multiple_Regression!$B$54*Dummy_Variables!N157</f>
        <v>818626.48745815037</v>
      </c>
      <c r="G157" s="13">
        <f t="shared" si="4"/>
        <v>-33598.237458150368</v>
      </c>
      <c r="H157" s="13">
        <f t="shared" si="5"/>
        <v>33598.237458150368</v>
      </c>
    </row>
    <row r="158" spans="1:8" x14ac:dyDescent="0.35">
      <c r="A158" s="4" t="str">
        <f>Dummy_Variables!A158</f>
        <v>STR-1039</v>
      </c>
      <c r="B158" s="12">
        <f>Dummy_Variables!B158</f>
        <v>45689</v>
      </c>
      <c r="C158" s="4" t="str">
        <f>Dummy_Variables!C158</f>
        <v>East</v>
      </c>
      <c r="D158" s="4" t="str">
        <f>Dummy_Variables!D158</f>
        <v>High Street</v>
      </c>
      <c r="E158" s="13">
        <f>Dummy_Variables!P158</f>
        <v>698492.67</v>
      </c>
      <c r="F158" s="13">
        <f>Multiple_Regression!$B$44+Multiple_Regression!$B$45*Dummy_Variables!E158+Multiple_Regression!$B$46*Dummy_Variables!F158+Multiple_Regression!$B$47*Dummy_Variables!G158+Multiple_Regression!$B$48*Dummy_Variables!H158+Multiple_Regression!$B$49*Dummy_Variables!I158+Multiple_Regression!$B$50*Dummy_Variables!J158+Multiple_Regression!$B$51*Dummy_Variables!K158+Multiple_Regression!$B$52*Dummy_Variables!L158+Multiple_Regression!$B$53*Dummy_Variables!M158+Multiple_Regression!$B$54*Dummy_Variables!N158</f>
        <v>699547.47724487935</v>
      </c>
      <c r="G158" s="13">
        <f t="shared" si="4"/>
        <v>-1054.80724487931</v>
      </c>
      <c r="H158" s="13">
        <f t="shared" si="5"/>
        <v>1054.80724487931</v>
      </c>
    </row>
    <row r="159" spans="1:8" x14ac:dyDescent="0.35">
      <c r="A159" s="4" t="str">
        <f>Dummy_Variables!A159</f>
        <v>STR-1039</v>
      </c>
      <c r="B159" s="12">
        <f>Dummy_Variables!B159</f>
        <v>45717</v>
      </c>
      <c r="C159" s="4" t="str">
        <f>Dummy_Variables!C159</f>
        <v>East</v>
      </c>
      <c r="D159" s="4" t="str">
        <f>Dummy_Variables!D159</f>
        <v>High Street</v>
      </c>
      <c r="E159" s="13">
        <f>Dummy_Variables!P159</f>
        <v>685830.24</v>
      </c>
      <c r="F159" s="13">
        <f>Multiple_Regression!$B$44+Multiple_Regression!$B$45*Dummy_Variables!E159+Multiple_Regression!$B$46*Dummy_Variables!F159+Multiple_Regression!$B$47*Dummy_Variables!G159+Multiple_Regression!$B$48*Dummy_Variables!H159+Multiple_Regression!$B$49*Dummy_Variables!I159+Multiple_Regression!$B$50*Dummy_Variables!J159+Multiple_Regression!$B$51*Dummy_Variables!K159+Multiple_Regression!$B$52*Dummy_Variables!L159+Multiple_Regression!$B$53*Dummy_Variables!M159+Multiple_Regression!$B$54*Dummy_Variables!N159</f>
        <v>739461.40774440416</v>
      </c>
      <c r="G159" s="13">
        <f t="shared" si="4"/>
        <v>-53631.167744404171</v>
      </c>
      <c r="H159" s="13">
        <f t="shared" si="5"/>
        <v>53631.167744404171</v>
      </c>
    </row>
    <row r="160" spans="1:8" x14ac:dyDescent="0.35">
      <c r="A160" s="4" t="str">
        <f>Dummy_Variables!A160</f>
        <v>STR-1039</v>
      </c>
      <c r="B160" s="12">
        <f>Dummy_Variables!B160</f>
        <v>45748</v>
      </c>
      <c r="C160" s="4" t="str">
        <f>Dummy_Variables!C160</f>
        <v>East</v>
      </c>
      <c r="D160" s="4" t="str">
        <f>Dummy_Variables!D160</f>
        <v>High Street</v>
      </c>
      <c r="E160" s="13">
        <f>Dummy_Variables!P160</f>
        <v>702318.94</v>
      </c>
      <c r="F160" s="13">
        <f>Multiple_Regression!$B$44+Multiple_Regression!$B$45*Dummy_Variables!E160+Multiple_Regression!$B$46*Dummy_Variables!F160+Multiple_Regression!$B$47*Dummy_Variables!G160+Multiple_Regression!$B$48*Dummy_Variables!H160+Multiple_Regression!$B$49*Dummy_Variables!I160+Multiple_Regression!$B$50*Dummy_Variables!J160+Multiple_Regression!$B$51*Dummy_Variables!K160+Multiple_Regression!$B$52*Dummy_Variables!L160+Multiple_Regression!$B$53*Dummy_Variables!M160+Multiple_Regression!$B$54*Dummy_Variables!N160</f>
        <v>721468.23124531214</v>
      </c>
      <c r="G160" s="13">
        <f t="shared" si="4"/>
        <v>-19149.291245312197</v>
      </c>
      <c r="H160" s="13">
        <f t="shared" si="5"/>
        <v>19149.291245312197</v>
      </c>
    </row>
    <row r="161" spans="1:8" x14ac:dyDescent="0.35">
      <c r="A161" s="4" t="str">
        <f>Dummy_Variables!A161</f>
        <v>STR-1040</v>
      </c>
      <c r="B161" s="12">
        <f>Dummy_Variables!B161</f>
        <v>45658</v>
      </c>
      <c r="C161" s="4" t="str">
        <f>Dummy_Variables!C161</f>
        <v>North</v>
      </c>
      <c r="D161" s="4" t="str">
        <f>Dummy_Variables!D161</f>
        <v>Mall</v>
      </c>
      <c r="E161" s="13">
        <f>Dummy_Variables!P161</f>
        <v>700078.32</v>
      </c>
      <c r="F161" s="13">
        <f>Multiple_Regression!$B$44+Multiple_Regression!$B$45*Dummy_Variables!E161+Multiple_Regression!$B$46*Dummy_Variables!F161+Multiple_Regression!$B$47*Dummy_Variables!G161+Multiple_Regression!$B$48*Dummy_Variables!H161+Multiple_Regression!$B$49*Dummy_Variables!I161+Multiple_Regression!$B$50*Dummy_Variables!J161+Multiple_Regression!$B$51*Dummy_Variables!K161+Multiple_Regression!$B$52*Dummy_Variables!L161+Multiple_Regression!$B$53*Dummy_Variables!M161+Multiple_Regression!$B$54*Dummy_Variables!N161</f>
        <v>721785.80265514296</v>
      </c>
      <c r="G161" s="13">
        <f t="shared" si="4"/>
        <v>-21707.482655143016</v>
      </c>
      <c r="H161" s="13">
        <f t="shared" si="5"/>
        <v>21707.482655143016</v>
      </c>
    </row>
    <row r="162" spans="1:8" x14ac:dyDescent="0.35">
      <c r="A162" s="4" t="str">
        <f>Dummy_Variables!A162</f>
        <v>STR-1040</v>
      </c>
      <c r="B162" s="12">
        <f>Dummy_Variables!B162</f>
        <v>45689</v>
      </c>
      <c r="C162" s="4" t="str">
        <f>Dummy_Variables!C162</f>
        <v>North</v>
      </c>
      <c r="D162" s="4" t="str">
        <f>Dummy_Variables!D162</f>
        <v>Mall</v>
      </c>
      <c r="E162" s="13">
        <f>Dummy_Variables!P162</f>
        <v>602002.31999999995</v>
      </c>
      <c r="F162" s="13">
        <f>Multiple_Regression!$B$44+Multiple_Regression!$B$45*Dummy_Variables!E162+Multiple_Regression!$B$46*Dummy_Variables!F162+Multiple_Regression!$B$47*Dummy_Variables!G162+Multiple_Regression!$B$48*Dummy_Variables!H162+Multiple_Regression!$B$49*Dummy_Variables!I162+Multiple_Regression!$B$50*Dummy_Variables!J162+Multiple_Regression!$B$51*Dummy_Variables!K162+Multiple_Regression!$B$52*Dummy_Variables!L162+Multiple_Regression!$B$53*Dummy_Variables!M162+Multiple_Regression!$B$54*Dummy_Variables!N162</f>
        <v>624015.73323025031</v>
      </c>
      <c r="G162" s="13">
        <f t="shared" si="4"/>
        <v>-22013.413230250357</v>
      </c>
      <c r="H162" s="13">
        <f t="shared" si="5"/>
        <v>22013.413230250357</v>
      </c>
    </row>
    <row r="163" spans="1:8" x14ac:dyDescent="0.35">
      <c r="A163" s="4" t="str">
        <f>Dummy_Variables!A163</f>
        <v>STR-1040</v>
      </c>
      <c r="B163" s="12">
        <f>Dummy_Variables!B163</f>
        <v>45717</v>
      </c>
      <c r="C163" s="4" t="str">
        <f>Dummy_Variables!C163</f>
        <v>North</v>
      </c>
      <c r="D163" s="4" t="str">
        <f>Dummy_Variables!D163</f>
        <v>Mall</v>
      </c>
      <c r="E163" s="13">
        <f>Dummy_Variables!P163</f>
        <v>724216.07</v>
      </c>
      <c r="F163" s="13">
        <f>Multiple_Regression!$B$44+Multiple_Regression!$B$45*Dummy_Variables!E163+Multiple_Regression!$B$46*Dummy_Variables!F163+Multiple_Regression!$B$47*Dummy_Variables!G163+Multiple_Regression!$B$48*Dummy_Variables!H163+Multiple_Regression!$B$49*Dummy_Variables!I163+Multiple_Regression!$B$50*Dummy_Variables!J163+Multiple_Regression!$B$51*Dummy_Variables!K163+Multiple_Regression!$B$52*Dummy_Variables!L163+Multiple_Regression!$B$53*Dummy_Variables!M163+Multiple_Regression!$B$54*Dummy_Variables!N163</f>
        <v>668291.54400285427</v>
      </c>
      <c r="G163" s="13">
        <f t="shared" si="4"/>
        <v>55924.525997145684</v>
      </c>
      <c r="H163" s="13">
        <f t="shared" si="5"/>
        <v>55924.525997145684</v>
      </c>
    </row>
    <row r="164" spans="1:8" x14ac:dyDescent="0.35">
      <c r="A164" s="4" t="str">
        <f>Dummy_Variables!A164</f>
        <v>STR-1040</v>
      </c>
      <c r="B164" s="12">
        <f>Dummy_Variables!B164</f>
        <v>45748</v>
      </c>
      <c r="C164" s="4" t="str">
        <f>Dummy_Variables!C164</f>
        <v>North</v>
      </c>
      <c r="D164" s="4" t="str">
        <f>Dummy_Variables!D164</f>
        <v>Mall</v>
      </c>
      <c r="E164" s="13">
        <f>Dummy_Variables!P164</f>
        <v>620973.03</v>
      </c>
      <c r="F164" s="13">
        <f>Multiple_Regression!$B$44+Multiple_Regression!$B$45*Dummy_Variables!E164+Multiple_Regression!$B$46*Dummy_Variables!F164+Multiple_Regression!$B$47*Dummy_Variables!G164+Multiple_Regression!$B$48*Dummy_Variables!H164+Multiple_Regression!$B$49*Dummy_Variables!I164+Multiple_Regression!$B$50*Dummy_Variables!J164+Multiple_Regression!$B$51*Dummy_Variables!K164+Multiple_Regression!$B$52*Dummy_Variables!L164+Multiple_Regression!$B$53*Dummy_Variables!M164+Multiple_Regression!$B$54*Dummy_Variables!N164</f>
        <v>562861.952935123</v>
      </c>
      <c r="G164" s="13">
        <f t="shared" si="4"/>
        <v>58111.077064877027</v>
      </c>
      <c r="H164" s="13">
        <f t="shared" si="5"/>
        <v>58111.077064877027</v>
      </c>
    </row>
    <row r="165" spans="1:8" x14ac:dyDescent="0.35">
      <c r="A165" s="4" t="str">
        <f>Dummy_Variables!A165</f>
        <v>STR-1041</v>
      </c>
      <c r="B165" s="12">
        <f>Dummy_Variables!B165</f>
        <v>45658</v>
      </c>
      <c r="C165" s="4" t="str">
        <f>Dummy_Variables!C165</f>
        <v>South</v>
      </c>
      <c r="D165" s="4" t="str">
        <f>Dummy_Variables!D165</f>
        <v>High Street</v>
      </c>
      <c r="E165" s="13">
        <f>Dummy_Variables!P165</f>
        <v>650480.06000000006</v>
      </c>
      <c r="F165" s="13">
        <f>Multiple_Regression!$B$44+Multiple_Regression!$B$45*Dummy_Variables!E165+Multiple_Regression!$B$46*Dummy_Variables!F165+Multiple_Regression!$B$47*Dummy_Variables!G165+Multiple_Regression!$B$48*Dummy_Variables!H165+Multiple_Regression!$B$49*Dummy_Variables!I165+Multiple_Regression!$B$50*Dummy_Variables!J165+Multiple_Regression!$B$51*Dummy_Variables!K165+Multiple_Regression!$B$52*Dummy_Variables!L165+Multiple_Regression!$B$53*Dummy_Variables!M165+Multiple_Regression!$B$54*Dummy_Variables!N165</f>
        <v>696728.91333264241</v>
      </c>
      <c r="G165" s="13">
        <f t="shared" si="4"/>
        <v>-46248.853332642349</v>
      </c>
      <c r="H165" s="13">
        <f t="shared" si="5"/>
        <v>46248.853332642349</v>
      </c>
    </row>
    <row r="166" spans="1:8" x14ac:dyDescent="0.35">
      <c r="A166" s="4" t="str">
        <f>Dummy_Variables!A166</f>
        <v>STR-1041</v>
      </c>
      <c r="B166" s="12">
        <f>Dummy_Variables!B166</f>
        <v>45689</v>
      </c>
      <c r="C166" s="4" t="str">
        <f>Dummy_Variables!C166</f>
        <v>South</v>
      </c>
      <c r="D166" s="4" t="str">
        <f>Dummy_Variables!D166</f>
        <v>High Street</v>
      </c>
      <c r="E166" s="13">
        <f>Dummy_Variables!P166</f>
        <v>778298.88</v>
      </c>
      <c r="F166" s="13">
        <f>Multiple_Regression!$B$44+Multiple_Regression!$B$45*Dummy_Variables!E166+Multiple_Regression!$B$46*Dummy_Variables!F166+Multiple_Regression!$B$47*Dummy_Variables!G166+Multiple_Regression!$B$48*Dummy_Variables!H166+Multiple_Regression!$B$49*Dummy_Variables!I166+Multiple_Regression!$B$50*Dummy_Variables!J166+Multiple_Regression!$B$51*Dummy_Variables!K166+Multiple_Regression!$B$52*Dummy_Variables!L166+Multiple_Regression!$B$53*Dummy_Variables!M166+Multiple_Regression!$B$54*Dummy_Variables!N166</f>
        <v>701557.10148054466</v>
      </c>
      <c r="G166" s="13">
        <f t="shared" si="4"/>
        <v>76741.778519455343</v>
      </c>
      <c r="H166" s="13">
        <f t="shared" si="5"/>
        <v>76741.778519455343</v>
      </c>
    </row>
    <row r="167" spans="1:8" x14ac:dyDescent="0.35">
      <c r="A167" s="4" t="str">
        <f>Dummy_Variables!A167</f>
        <v>STR-1041</v>
      </c>
      <c r="B167" s="12">
        <f>Dummy_Variables!B167</f>
        <v>45717</v>
      </c>
      <c r="C167" s="4" t="str">
        <f>Dummy_Variables!C167</f>
        <v>South</v>
      </c>
      <c r="D167" s="4" t="str">
        <f>Dummy_Variables!D167</f>
        <v>High Street</v>
      </c>
      <c r="E167" s="13">
        <f>Dummy_Variables!P167</f>
        <v>677096.71</v>
      </c>
      <c r="F167" s="13">
        <f>Multiple_Regression!$B$44+Multiple_Regression!$B$45*Dummy_Variables!E167+Multiple_Regression!$B$46*Dummy_Variables!F167+Multiple_Regression!$B$47*Dummy_Variables!G167+Multiple_Regression!$B$48*Dummy_Variables!H167+Multiple_Regression!$B$49*Dummy_Variables!I167+Multiple_Regression!$B$50*Dummy_Variables!J167+Multiple_Regression!$B$51*Dummy_Variables!K167+Multiple_Regression!$B$52*Dummy_Variables!L167+Multiple_Regression!$B$53*Dummy_Variables!M167+Multiple_Regression!$B$54*Dummy_Variables!N167</f>
        <v>684242.6290701523</v>
      </c>
      <c r="G167" s="13">
        <f t="shared" si="4"/>
        <v>-7145.919070152333</v>
      </c>
      <c r="H167" s="13">
        <f t="shared" si="5"/>
        <v>7145.919070152333</v>
      </c>
    </row>
    <row r="168" spans="1:8" x14ac:dyDescent="0.35">
      <c r="A168" s="4" t="str">
        <f>Dummy_Variables!A168</f>
        <v>STR-1041</v>
      </c>
      <c r="B168" s="12">
        <f>Dummy_Variables!B168</f>
        <v>45748</v>
      </c>
      <c r="C168" s="4" t="str">
        <f>Dummy_Variables!C168</f>
        <v>South</v>
      </c>
      <c r="D168" s="4" t="str">
        <f>Dummy_Variables!D168</f>
        <v>High Street</v>
      </c>
      <c r="E168" s="13">
        <f>Dummy_Variables!P168</f>
        <v>692008.64</v>
      </c>
      <c r="F168" s="13">
        <f>Multiple_Regression!$B$44+Multiple_Regression!$B$45*Dummy_Variables!E168+Multiple_Regression!$B$46*Dummy_Variables!F168+Multiple_Regression!$B$47*Dummy_Variables!G168+Multiple_Regression!$B$48*Dummy_Variables!H168+Multiple_Regression!$B$49*Dummy_Variables!I168+Multiple_Regression!$B$50*Dummy_Variables!J168+Multiple_Regression!$B$51*Dummy_Variables!K168+Multiple_Regression!$B$52*Dummy_Variables!L168+Multiple_Regression!$B$53*Dummy_Variables!M168+Multiple_Regression!$B$54*Dummy_Variables!N168</f>
        <v>711798.65553177497</v>
      </c>
      <c r="G168" s="13">
        <f t="shared" si="4"/>
        <v>-19790.01553177496</v>
      </c>
      <c r="H168" s="13">
        <f t="shared" si="5"/>
        <v>19790.01553177496</v>
      </c>
    </row>
    <row r="169" spans="1:8" x14ac:dyDescent="0.35">
      <c r="A169" s="4" t="str">
        <f>Dummy_Variables!A169</f>
        <v>STR-1042</v>
      </c>
      <c r="B169" s="12">
        <f>Dummy_Variables!B169</f>
        <v>45658</v>
      </c>
      <c r="C169" s="4" t="str">
        <f>Dummy_Variables!C169</f>
        <v>North</v>
      </c>
      <c r="D169" s="4" t="str">
        <f>Dummy_Variables!D169</f>
        <v>Mall</v>
      </c>
      <c r="E169" s="13">
        <f>Dummy_Variables!P169</f>
        <v>825797.91</v>
      </c>
      <c r="F169" s="13">
        <f>Multiple_Regression!$B$44+Multiple_Regression!$B$45*Dummy_Variables!E169+Multiple_Regression!$B$46*Dummy_Variables!F169+Multiple_Regression!$B$47*Dummy_Variables!G169+Multiple_Regression!$B$48*Dummy_Variables!H169+Multiple_Regression!$B$49*Dummy_Variables!I169+Multiple_Regression!$B$50*Dummy_Variables!J169+Multiple_Regression!$B$51*Dummy_Variables!K169+Multiple_Regression!$B$52*Dummy_Variables!L169+Multiple_Regression!$B$53*Dummy_Variables!M169+Multiple_Regression!$B$54*Dummy_Variables!N169</f>
        <v>780289.96480112523</v>
      </c>
      <c r="G169" s="13">
        <f t="shared" si="4"/>
        <v>45507.945198874804</v>
      </c>
      <c r="H169" s="13">
        <f t="shared" si="5"/>
        <v>45507.945198874804</v>
      </c>
    </row>
    <row r="170" spans="1:8" x14ac:dyDescent="0.35">
      <c r="A170" s="4" t="str">
        <f>Dummy_Variables!A170</f>
        <v>STR-1042</v>
      </c>
      <c r="B170" s="12">
        <f>Dummy_Variables!B170</f>
        <v>45689</v>
      </c>
      <c r="C170" s="4" t="str">
        <f>Dummy_Variables!C170</f>
        <v>North</v>
      </c>
      <c r="D170" s="4" t="str">
        <f>Dummy_Variables!D170</f>
        <v>Mall</v>
      </c>
      <c r="E170" s="13">
        <f>Dummy_Variables!P170</f>
        <v>706285.52</v>
      </c>
      <c r="F170" s="13">
        <f>Multiple_Regression!$B$44+Multiple_Regression!$B$45*Dummy_Variables!E170+Multiple_Regression!$B$46*Dummy_Variables!F170+Multiple_Regression!$B$47*Dummy_Variables!G170+Multiple_Regression!$B$48*Dummy_Variables!H170+Multiple_Regression!$B$49*Dummy_Variables!I170+Multiple_Regression!$B$50*Dummy_Variables!J170+Multiple_Regression!$B$51*Dummy_Variables!K170+Multiple_Regression!$B$52*Dummy_Variables!L170+Multiple_Regression!$B$53*Dummy_Variables!M170+Multiple_Regression!$B$54*Dummy_Variables!N170</f>
        <v>722375.68501714256</v>
      </c>
      <c r="G170" s="13">
        <f t="shared" si="4"/>
        <v>-16090.165017142543</v>
      </c>
      <c r="H170" s="13">
        <f t="shared" si="5"/>
        <v>16090.165017142543</v>
      </c>
    </row>
    <row r="171" spans="1:8" x14ac:dyDescent="0.35">
      <c r="A171" s="4" t="str">
        <f>Dummy_Variables!A171</f>
        <v>STR-1042</v>
      </c>
      <c r="B171" s="12">
        <f>Dummy_Variables!B171</f>
        <v>45717</v>
      </c>
      <c r="C171" s="4" t="str">
        <f>Dummy_Variables!C171</f>
        <v>North</v>
      </c>
      <c r="D171" s="4" t="str">
        <f>Dummy_Variables!D171</f>
        <v>Mall</v>
      </c>
      <c r="E171" s="13">
        <f>Dummy_Variables!P171</f>
        <v>665534.69999999995</v>
      </c>
      <c r="F171" s="13">
        <f>Multiple_Regression!$B$44+Multiple_Regression!$B$45*Dummy_Variables!E171+Multiple_Regression!$B$46*Dummy_Variables!F171+Multiple_Regression!$B$47*Dummy_Variables!G171+Multiple_Regression!$B$48*Dummy_Variables!H171+Multiple_Regression!$B$49*Dummy_Variables!I171+Multiple_Regression!$B$50*Dummy_Variables!J171+Multiple_Regression!$B$51*Dummy_Variables!K171+Multiple_Regression!$B$52*Dummy_Variables!L171+Multiple_Regression!$B$53*Dummy_Variables!M171+Multiple_Regression!$B$54*Dummy_Variables!N171</f>
        <v>684826.47318782192</v>
      </c>
      <c r="G171" s="13">
        <f t="shared" si="4"/>
        <v>-19291.773187821964</v>
      </c>
      <c r="H171" s="13">
        <f t="shared" si="5"/>
        <v>19291.773187821964</v>
      </c>
    </row>
    <row r="172" spans="1:8" x14ac:dyDescent="0.35">
      <c r="A172" s="4" t="str">
        <f>Dummy_Variables!A172</f>
        <v>STR-1042</v>
      </c>
      <c r="B172" s="12">
        <f>Dummy_Variables!B172</f>
        <v>45748</v>
      </c>
      <c r="C172" s="4" t="str">
        <f>Dummy_Variables!C172</f>
        <v>North</v>
      </c>
      <c r="D172" s="4" t="str">
        <f>Dummy_Variables!D172</f>
        <v>Mall</v>
      </c>
      <c r="E172" s="13">
        <f>Dummy_Variables!P172</f>
        <v>820729.29</v>
      </c>
      <c r="F172" s="13">
        <f>Multiple_Regression!$B$44+Multiple_Regression!$B$45*Dummy_Variables!E172+Multiple_Regression!$B$46*Dummy_Variables!F172+Multiple_Regression!$B$47*Dummy_Variables!G172+Multiple_Regression!$B$48*Dummy_Variables!H172+Multiple_Regression!$B$49*Dummy_Variables!I172+Multiple_Regression!$B$50*Dummy_Variables!J172+Multiple_Regression!$B$51*Dummy_Variables!K172+Multiple_Regression!$B$52*Dummy_Variables!L172+Multiple_Regression!$B$53*Dummy_Variables!M172+Multiple_Regression!$B$54*Dummy_Variables!N172</f>
        <v>809300.62348047132</v>
      </c>
      <c r="G172" s="13">
        <f t="shared" si="4"/>
        <v>11428.666519528721</v>
      </c>
      <c r="H172" s="13">
        <f t="shared" si="5"/>
        <v>11428.666519528721</v>
      </c>
    </row>
    <row r="173" spans="1:8" x14ac:dyDescent="0.35">
      <c r="A173" s="4" t="str">
        <f>Dummy_Variables!A173</f>
        <v>STR-1043</v>
      </c>
      <c r="B173" s="12">
        <f>Dummy_Variables!B173</f>
        <v>45658</v>
      </c>
      <c r="C173" s="4" t="str">
        <f>Dummy_Variables!C173</f>
        <v>East</v>
      </c>
      <c r="D173" s="4" t="str">
        <f>Dummy_Variables!D173</f>
        <v>Residential</v>
      </c>
      <c r="E173" s="13">
        <f>Dummy_Variables!P173</f>
        <v>739831.73</v>
      </c>
      <c r="F173" s="13">
        <f>Multiple_Regression!$B$44+Multiple_Regression!$B$45*Dummy_Variables!E173+Multiple_Regression!$B$46*Dummy_Variables!F173+Multiple_Regression!$B$47*Dummy_Variables!G173+Multiple_Regression!$B$48*Dummy_Variables!H173+Multiple_Regression!$B$49*Dummy_Variables!I173+Multiple_Regression!$B$50*Dummy_Variables!J173+Multiple_Regression!$B$51*Dummy_Variables!K173+Multiple_Regression!$B$52*Dummy_Variables!L173+Multiple_Regression!$B$53*Dummy_Variables!M173+Multiple_Regression!$B$54*Dummy_Variables!N173</f>
        <v>745036.88826385804</v>
      </c>
      <c r="G173" s="13">
        <f t="shared" si="4"/>
        <v>-5205.1582638580585</v>
      </c>
      <c r="H173" s="13">
        <f t="shared" si="5"/>
        <v>5205.1582638580585</v>
      </c>
    </row>
    <row r="174" spans="1:8" x14ac:dyDescent="0.35">
      <c r="A174" s="4" t="str">
        <f>Dummy_Variables!A174</f>
        <v>STR-1043</v>
      </c>
      <c r="B174" s="12">
        <f>Dummy_Variables!B174</f>
        <v>45689</v>
      </c>
      <c r="C174" s="4" t="str">
        <f>Dummy_Variables!C174</f>
        <v>East</v>
      </c>
      <c r="D174" s="4" t="str">
        <f>Dummy_Variables!D174</f>
        <v>Residential</v>
      </c>
      <c r="E174" s="13">
        <f>Dummy_Variables!P174</f>
        <v>593637.14</v>
      </c>
      <c r="F174" s="13">
        <f>Multiple_Regression!$B$44+Multiple_Regression!$B$45*Dummy_Variables!E174+Multiple_Regression!$B$46*Dummy_Variables!F174+Multiple_Regression!$B$47*Dummy_Variables!G174+Multiple_Regression!$B$48*Dummy_Variables!H174+Multiple_Regression!$B$49*Dummy_Variables!I174+Multiple_Regression!$B$50*Dummy_Variables!J174+Multiple_Regression!$B$51*Dummy_Variables!K174+Multiple_Regression!$B$52*Dummy_Variables!L174+Multiple_Regression!$B$53*Dummy_Variables!M174+Multiple_Regression!$B$54*Dummy_Variables!N174</f>
        <v>670958.43691740418</v>
      </c>
      <c r="G174" s="13">
        <f t="shared" si="4"/>
        <v>-77321.296917404165</v>
      </c>
      <c r="H174" s="13">
        <f t="shared" si="5"/>
        <v>77321.296917404165</v>
      </c>
    </row>
    <row r="175" spans="1:8" x14ac:dyDescent="0.35">
      <c r="A175" s="4" t="str">
        <f>Dummy_Variables!A175</f>
        <v>STR-1043</v>
      </c>
      <c r="B175" s="12">
        <f>Dummy_Variables!B175</f>
        <v>45717</v>
      </c>
      <c r="C175" s="4" t="str">
        <f>Dummy_Variables!C175</f>
        <v>East</v>
      </c>
      <c r="D175" s="4" t="str">
        <f>Dummy_Variables!D175</f>
        <v>Residential</v>
      </c>
      <c r="E175" s="13">
        <f>Dummy_Variables!P175</f>
        <v>769702.76</v>
      </c>
      <c r="F175" s="13">
        <f>Multiple_Regression!$B$44+Multiple_Regression!$B$45*Dummy_Variables!E175+Multiple_Regression!$B$46*Dummy_Variables!F175+Multiple_Regression!$B$47*Dummy_Variables!G175+Multiple_Regression!$B$48*Dummy_Variables!H175+Multiple_Regression!$B$49*Dummy_Variables!I175+Multiple_Regression!$B$50*Dummy_Variables!J175+Multiple_Regression!$B$51*Dummy_Variables!K175+Multiple_Regression!$B$52*Dummy_Variables!L175+Multiple_Regression!$B$53*Dummy_Variables!M175+Multiple_Regression!$B$54*Dummy_Variables!N175</f>
        <v>723279.53825415531</v>
      </c>
      <c r="G175" s="13">
        <f t="shared" si="4"/>
        <v>46423.221745844698</v>
      </c>
      <c r="H175" s="13">
        <f t="shared" si="5"/>
        <v>46423.221745844698</v>
      </c>
    </row>
    <row r="176" spans="1:8" x14ac:dyDescent="0.35">
      <c r="A176" s="4" t="str">
        <f>Dummy_Variables!A176</f>
        <v>STR-1043</v>
      </c>
      <c r="B176" s="12">
        <f>Dummy_Variables!B176</f>
        <v>45748</v>
      </c>
      <c r="C176" s="4" t="str">
        <f>Dummy_Variables!C176</f>
        <v>East</v>
      </c>
      <c r="D176" s="4" t="str">
        <f>Dummy_Variables!D176</f>
        <v>Residential</v>
      </c>
      <c r="E176" s="13">
        <f>Dummy_Variables!P176</f>
        <v>679731.57</v>
      </c>
      <c r="F176" s="13">
        <f>Multiple_Regression!$B$44+Multiple_Regression!$B$45*Dummy_Variables!E176+Multiple_Regression!$B$46*Dummy_Variables!F176+Multiple_Regression!$B$47*Dummy_Variables!G176+Multiple_Regression!$B$48*Dummy_Variables!H176+Multiple_Regression!$B$49*Dummy_Variables!I176+Multiple_Regression!$B$50*Dummy_Variables!J176+Multiple_Regression!$B$51*Dummy_Variables!K176+Multiple_Regression!$B$52*Dummy_Variables!L176+Multiple_Regression!$B$53*Dummy_Variables!M176+Multiple_Regression!$B$54*Dummy_Variables!N176</f>
        <v>697875.00554325501</v>
      </c>
      <c r="G176" s="13">
        <f t="shared" si="4"/>
        <v>-18143.435543255066</v>
      </c>
      <c r="H176" s="13">
        <f t="shared" si="5"/>
        <v>18143.435543255066</v>
      </c>
    </row>
    <row r="177" spans="1:8" x14ac:dyDescent="0.35">
      <c r="A177" s="4" t="str">
        <f>Dummy_Variables!A177</f>
        <v>STR-1044</v>
      </c>
      <c r="B177" s="12">
        <f>Dummy_Variables!B177</f>
        <v>45658</v>
      </c>
      <c r="C177" s="4" t="str">
        <f>Dummy_Variables!C177</f>
        <v>East</v>
      </c>
      <c r="D177" s="4" t="str">
        <f>Dummy_Variables!D177</f>
        <v>Residential</v>
      </c>
      <c r="E177" s="13">
        <f>Dummy_Variables!P177</f>
        <v>780344.18</v>
      </c>
      <c r="F177" s="13">
        <f>Multiple_Regression!$B$44+Multiple_Regression!$B$45*Dummy_Variables!E177+Multiple_Regression!$B$46*Dummy_Variables!F177+Multiple_Regression!$B$47*Dummy_Variables!G177+Multiple_Regression!$B$48*Dummy_Variables!H177+Multiple_Regression!$B$49*Dummy_Variables!I177+Multiple_Regression!$B$50*Dummy_Variables!J177+Multiple_Regression!$B$51*Dummy_Variables!K177+Multiple_Regression!$B$52*Dummy_Variables!L177+Multiple_Regression!$B$53*Dummy_Variables!M177+Multiple_Regression!$B$54*Dummy_Variables!N177</f>
        <v>748207.57398731331</v>
      </c>
      <c r="G177" s="13">
        <f t="shared" si="4"/>
        <v>32136.606012686738</v>
      </c>
      <c r="H177" s="13">
        <f t="shared" si="5"/>
        <v>32136.606012686738</v>
      </c>
    </row>
    <row r="178" spans="1:8" x14ac:dyDescent="0.35">
      <c r="A178" s="4" t="str">
        <f>Dummy_Variables!A178</f>
        <v>STR-1044</v>
      </c>
      <c r="B178" s="12">
        <f>Dummy_Variables!B178</f>
        <v>45689</v>
      </c>
      <c r="C178" s="4" t="str">
        <f>Dummy_Variables!C178</f>
        <v>East</v>
      </c>
      <c r="D178" s="4" t="str">
        <f>Dummy_Variables!D178</f>
        <v>Residential</v>
      </c>
      <c r="E178" s="13">
        <f>Dummy_Variables!P178</f>
        <v>721364.11</v>
      </c>
      <c r="F178" s="13">
        <f>Multiple_Regression!$B$44+Multiple_Regression!$B$45*Dummy_Variables!E178+Multiple_Regression!$B$46*Dummy_Variables!F178+Multiple_Regression!$B$47*Dummy_Variables!G178+Multiple_Regression!$B$48*Dummy_Variables!H178+Multiple_Regression!$B$49*Dummy_Variables!I178+Multiple_Regression!$B$50*Dummy_Variables!J178+Multiple_Regression!$B$51*Dummy_Variables!K178+Multiple_Regression!$B$52*Dummy_Variables!L178+Multiple_Regression!$B$53*Dummy_Variables!M178+Multiple_Regression!$B$54*Dummy_Variables!N178</f>
        <v>743300.00354819489</v>
      </c>
      <c r="G178" s="13">
        <f t="shared" si="4"/>
        <v>-21935.893548194901</v>
      </c>
      <c r="H178" s="13">
        <f t="shared" si="5"/>
        <v>21935.893548194901</v>
      </c>
    </row>
    <row r="179" spans="1:8" x14ac:dyDescent="0.35">
      <c r="A179" s="4" t="str">
        <f>Dummy_Variables!A179</f>
        <v>STR-1044</v>
      </c>
      <c r="B179" s="12">
        <f>Dummy_Variables!B179</f>
        <v>45717</v>
      </c>
      <c r="C179" s="4" t="str">
        <f>Dummy_Variables!C179</f>
        <v>East</v>
      </c>
      <c r="D179" s="4" t="str">
        <f>Dummy_Variables!D179</f>
        <v>Residential</v>
      </c>
      <c r="E179" s="13">
        <f>Dummy_Variables!P179</f>
        <v>758138.29</v>
      </c>
      <c r="F179" s="13">
        <f>Multiple_Regression!$B$44+Multiple_Regression!$B$45*Dummy_Variables!E179+Multiple_Regression!$B$46*Dummy_Variables!F179+Multiple_Regression!$B$47*Dummy_Variables!G179+Multiple_Regression!$B$48*Dummy_Variables!H179+Multiple_Regression!$B$49*Dummy_Variables!I179+Multiple_Regression!$B$50*Dummy_Variables!J179+Multiple_Regression!$B$51*Dummy_Variables!K179+Multiple_Regression!$B$52*Dummy_Variables!L179+Multiple_Regression!$B$53*Dummy_Variables!M179+Multiple_Regression!$B$54*Dummy_Variables!N179</f>
        <v>752436.83428928186</v>
      </c>
      <c r="G179" s="13">
        <f t="shared" si="4"/>
        <v>5701.4557107181754</v>
      </c>
      <c r="H179" s="13">
        <f t="shared" si="5"/>
        <v>5701.4557107181754</v>
      </c>
    </row>
    <row r="180" spans="1:8" x14ac:dyDescent="0.35">
      <c r="A180" s="4" t="str">
        <f>Dummy_Variables!A180</f>
        <v>STR-1044</v>
      </c>
      <c r="B180" s="12">
        <f>Dummy_Variables!B180</f>
        <v>45748</v>
      </c>
      <c r="C180" s="4" t="str">
        <f>Dummy_Variables!C180</f>
        <v>East</v>
      </c>
      <c r="D180" s="4" t="str">
        <f>Dummy_Variables!D180</f>
        <v>Residential</v>
      </c>
      <c r="E180" s="13">
        <f>Dummy_Variables!P180</f>
        <v>804264</v>
      </c>
      <c r="F180" s="13">
        <f>Multiple_Regression!$B$44+Multiple_Regression!$B$45*Dummy_Variables!E180+Multiple_Regression!$B$46*Dummy_Variables!F180+Multiple_Regression!$B$47*Dummy_Variables!G180+Multiple_Regression!$B$48*Dummy_Variables!H180+Multiple_Regression!$B$49*Dummy_Variables!I180+Multiple_Regression!$B$50*Dummy_Variables!J180+Multiple_Regression!$B$51*Dummy_Variables!K180+Multiple_Regression!$B$52*Dummy_Variables!L180+Multiple_Regression!$B$53*Dummy_Variables!M180+Multiple_Regression!$B$54*Dummy_Variables!N180</f>
        <v>808372.15476728056</v>
      </c>
      <c r="G180" s="13">
        <f t="shared" si="4"/>
        <v>-4108.1547672805609</v>
      </c>
      <c r="H180" s="13">
        <f t="shared" si="5"/>
        <v>4108.1547672805609</v>
      </c>
    </row>
    <row r="181" spans="1:8" x14ac:dyDescent="0.35">
      <c r="A181" s="4" t="str">
        <f>Dummy_Variables!A181</f>
        <v>STR-1045</v>
      </c>
      <c r="B181" s="12">
        <f>Dummy_Variables!B181</f>
        <v>45658</v>
      </c>
      <c r="C181" s="4" t="str">
        <f>Dummy_Variables!C181</f>
        <v>West</v>
      </c>
      <c r="D181" s="4" t="str">
        <f>Dummy_Variables!D181</f>
        <v>Airport</v>
      </c>
      <c r="E181" s="13">
        <f>Dummy_Variables!P181</f>
        <v>887537.75</v>
      </c>
      <c r="F181" s="13">
        <f>Multiple_Regression!$B$44+Multiple_Regression!$B$45*Dummy_Variables!E181+Multiple_Regression!$B$46*Dummy_Variables!F181+Multiple_Regression!$B$47*Dummy_Variables!G181+Multiple_Regression!$B$48*Dummy_Variables!H181+Multiple_Regression!$B$49*Dummy_Variables!I181+Multiple_Regression!$B$50*Dummy_Variables!J181+Multiple_Regression!$B$51*Dummy_Variables!K181+Multiple_Regression!$B$52*Dummy_Variables!L181+Multiple_Regression!$B$53*Dummy_Variables!M181+Multiple_Regression!$B$54*Dummy_Variables!N181</f>
        <v>890995.13035448559</v>
      </c>
      <c r="G181" s="13">
        <f t="shared" si="4"/>
        <v>-3457.3803544855909</v>
      </c>
      <c r="H181" s="13">
        <f t="shared" si="5"/>
        <v>3457.3803544855909</v>
      </c>
    </row>
    <row r="182" spans="1:8" x14ac:dyDescent="0.35">
      <c r="A182" s="4" t="str">
        <f>Dummy_Variables!A182</f>
        <v>STR-1045</v>
      </c>
      <c r="B182" s="12">
        <f>Dummy_Variables!B182</f>
        <v>45689</v>
      </c>
      <c r="C182" s="4" t="str">
        <f>Dummy_Variables!C182</f>
        <v>West</v>
      </c>
      <c r="D182" s="4" t="str">
        <f>Dummy_Variables!D182</f>
        <v>Airport</v>
      </c>
      <c r="E182" s="13">
        <f>Dummy_Variables!P182</f>
        <v>783582</v>
      </c>
      <c r="F182" s="13">
        <f>Multiple_Regression!$B$44+Multiple_Regression!$B$45*Dummy_Variables!E182+Multiple_Regression!$B$46*Dummy_Variables!F182+Multiple_Regression!$B$47*Dummy_Variables!G182+Multiple_Regression!$B$48*Dummy_Variables!H182+Multiple_Regression!$B$49*Dummy_Variables!I182+Multiple_Regression!$B$50*Dummy_Variables!J182+Multiple_Regression!$B$51*Dummy_Variables!K182+Multiple_Regression!$B$52*Dummy_Variables!L182+Multiple_Regression!$B$53*Dummy_Variables!M182+Multiple_Regression!$B$54*Dummy_Variables!N182</f>
        <v>712845.46889409074</v>
      </c>
      <c r="G182" s="13">
        <f t="shared" si="4"/>
        <v>70736.531105909264</v>
      </c>
      <c r="H182" s="13">
        <f t="shared" si="5"/>
        <v>70736.531105909264</v>
      </c>
    </row>
    <row r="183" spans="1:8" x14ac:dyDescent="0.35">
      <c r="A183" s="4" t="str">
        <f>Dummy_Variables!A183</f>
        <v>STR-1045</v>
      </c>
      <c r="B183" s="12">
        <f>Dummy_Variables!B183</f>
        <v>45717</v>
      </c>
      <c r="C183" s="4" t="str">
        <f>Dummy_Variables!C183</f>
        <v>West</v>
      </c>
      <c r="D183" s="4" t="str">
        <f>Dummy_Variables!D183</f>
        <v>Airport</v>
      </c>
      <c r="E183" s="13">
        <f>Dummy_Variables!P183</f>
        <v>781955.52</v>
      </c>
      <c r="F183" s="13">
        <f>Multiple_Regression!$B$44+Multiple_Regression!$B$45*Dummy_Variables!E183+Multiple_Regression!$B$46*Dummy_Variables!F183+Multiple_Regression!$B$47*Dummy_Variables!G183+Multiple_Regression!$B$48*Dummy_Variables!H183+Multiple_Regression!$B$49*Dummy_Variables!I183+Multiple_Regression!$B$50*Dummy_Variables!J183+Multiple_Regression!$B$51*Dummy_Variables!K183+Multiple_Regression!$B$52*Dummy_Variables!L183+Multiple_Regression!$B$53*Dummy_Variables!M183+Multiple_Regression!$B$54*Dummy_Variables!N183</f>
        <v>776058.08920761233</v>
      </c>
      <c r="G183" s="13">
        <f t="shared" si="4"/>
        <v>5897.4307923876913</v>
      </c>
      <c r="H183" s="13">
        <f t="shared" si="5"/>
        <v>5897.4307923876913</v>
      </c>
    </row>
    <row r="184" spans="1:8" x14ac:dyDescent="0.35">
      <c r="A184" s="4" t="str">
        <f>Dummy_Variables!A184</f>
        <v>STR-1045</v>
      </c>
      <c r="B184" s="12">
        <f>Dummy_Variables!B184</f>
        <v>45748</v>
      </c>
      <c r="C184" s="4" t="str">
        <f>Dummy_Variables!C184</f>
        <v>West</v>
      </c>
      <c r="D184" s="4" t="str">
        <f>Dummy_Variables!D184</f>
        <v>Airport</v>
      </c>
      <c r="E184" s="13">
        <f>Dummy_Variables!P184</f>
        <v>898031.04</v>
      </c>
      <c r="F184" s="13">
        <f>Multiple_Regression!$B$44+Multiple_Regression!$B$45*Dummy_Variables!E184+Multiple_Regression!$B$46*Dummy_Variables!F184+Multiple_Regression!$B$47*Dummy_Variables!G184+Multiple_Regression!$B$48*Dummy_Variables!H184+Multiple_Regression!$B$49*Dummy_Variables!I184+Multiple_Regression!$B$50*Dummy_Variables!J184+Multiple_Regression!$B$51*Dummy_Variables!K184+Multiple_Regression!$B$52*Dummy_Variables!L184+Multiple_Regression!$B$53*Dummy_Variables!M184+Multiple_Regression!$B$54*Dummy_Variables!N184</f>
        <v>841457.85576902516</v>
      </c>
      <c r="G184" s="13">
        <f t="shared" si="4"/>
        <v>56573.184230974875</v>
      </c>
      <c r="H184" s="13">
        <f t="shared" si="5"/>
        <v>56573.184230974875</v>
      </c>
    </row>
    <row r="185" spans="1:8" x14ac:dyDescent="0.35">
      <c r="A185" s="4" t="str">
        <f>Dummy_Variables!A185</f>
        <v>STR-1046</v>
      </c>
      <c r="B185" s="12">
        <f>Dummy_Variables!B185</f>
        <v>45658</v>
      </c>
      <c r="C185" s="4" t="str">
        <f>Dummy_Variables!C185</f>
        <v>West</v>
      </c>
      <c r="D185" s="4" t="str">
        <f>Dummy_Variables!D185</f>
        <v>Residential</v>
      </c>
      <c r="E185" s="13">
        <f>Dummy_Variables!P185</f>
        <v>855341.28</v>
      </c>
      <c r="F185" s="13">
        <f>Multiple_Regression!$B$44+Multiple_Regression!$B$45*Dummy_Variables!E185+Multiple_Regression!$B$46*Dummy_Variables!F185+Multiple_Regression!$B$47*Dummy_Variables!G185+Multiple_Regression!$B$48*Dummy_Variables!H185+Multiple_Regression!$B$49*Dummy_Variables!I185+Multiple_Regression!$B$50*Dummy_Variables!J185+Multiple_Regression!$B$51*Dummy_Variables!K185+Multiple_Regression!$B$52*Dummy_Variables!L185+Multiple_Regression!$B$53*Dummy_Variables!M185+Multiple_Regression!$B$54*Dummy_Variables!N185</f>
        <v>848653.81478053646</v>
      </c>
      <c r="G185" s="13">
        <f t="shared" si="4"/>
        <v>6687.465219463571</v>
      </c>
      <c r="H185" s="13">
        <f t="shared" si="5"/>
        <v>6687.465219463571</v>
      </c>
    </row>
    <row r="186" spans="1:8" x14ac:dyDescent="0.35">
      <c r="A186" s="4" t="str">
        <f>Dummy_Variables!A186</f>
        <v>STR-1046</v>
      </c>
      <c r="B186" s="12">
        <f>Dummy_Variables!B186</f>
        <v>45689</v>
      </c>
      <c r="C186" s="4" t="str">
        <f>Dummy_Variables!C186</f>
        <v>West</v>
      </c>
      <c r="D186" s="4" t="str">
        <f>Dummy_Variables!D186</f>
        <v>Residential</v>
      </c>
      <c r="E186" s="13">
        <f>Dummy_Variables!P186</f>
        <v>751393.88</v>
      </c>
      <c r="F186" s="13">
        <f>Multiple_Regression!$B$44+Multiple_Regression!$B$45*Dummy_Variables!E186+Multiple_Regression!$B$46*Dummy_Variables!F186+Multiple_Regression!$B$47*Dummy_Variables!G186+Multiple_Regression!$B$48*Dummy_Variables!H186+Multiple_Regression!$B$49*Dummy_Variables!I186+Multiple_Regression!$B$50*Dummy_Variables!J186+Multiple_Regression!$B$51*Dummy_Variables!K186+Multiple_Regression!$B$52*Dummy_Variables!L186+Multiple_Regression!$B$53*Dummy_Variables!M186+Multiple_Regression!$B$54*Dummy_Variables!N186</f>
        <v>701288.05078042066</v>
      </c>
      <c r="G186" s="13">
        <f t="shared" si="4"/>
        <v>50105.829219579347</v>
      </c>
      <c r="H186" s="13">
        <f t="shared" si="5"/>
        <v>50105.829219579347</v>
      </c>
    </row>
    <row r="187" spans="1:8" x14ac:dyDescent="0.35">
      <c r="A187" s="4" t="str">
        <f>Dummy_Variables!A187</f>
        <v>STR-1046</v>
      </c>
      <c r="B187" s="12">
        <f>Dummy_Variables!B187</f>
        <v>45717</v>
      </c>
      <c r="C187" s="4" t="str">
        <f>Dummy_Variables!C187</f>
        <v>West</v>
      </c>
      <c r="D187" s="4" t="str">
        <f>Dummy_Variables!D187</f>
        <v>Residential</v>
      </c>
      <c r="E187" s="13">
        <f>Dummy_Variables!P187</f>
        <v>761077.08</v>
      </c>
      <c r="F187" s="13">
        <f>Multiple_Regression!$B$44+Multiple_Regression!$B$45*Dummy_Variables!E187+Multiple_Regression!$B$46*Dummy_Variables!F187+Multiple_Regression!$B$47*Dummy_Variables!G187+Multiple_Regression!$B$48*Dummy_Variables!H187+Multiple_Regression!$B$49*Dummy_Variables!I187+Multiple_Regression!$B$50*Dummy_Variables!J187+Multiple_Regression!$B$51*Dummy_Variables!K187+Multiple_Regression!$B$52*Dummy_Variables!L187+Multiple_Regression!$B$53*Dummy_Variables!M187+Multiple_Regression!$B$54*Dummy_Variables!N187</f>
        <v>763489.10581252014</v>
      </c>
      <c r="G187" s="13">
        <f t="shared" si="4"/>
        <v>-2412.0258125201799</v>
      </c>
      <c r="H187" s="13">
        <f t="shared" si="5"/>
        <v>2412.0258125201799</v>
      </c>
    </row>
    <row r="188" spans="1:8" x14ac:dyDescent="0.35">
      <c r="A188" s="4" t="str">
        <f>Dummy_Variables!A188</f>
        <v>STR-1046</v>
      </c>
      <c r="B188" s="12">
        <f>Dummy_Variables!B188</f>
        <v>45748</v>
      </c>
      <c r="C188" s="4" t="str">
        <f>Dummy_Variables!C188</f>
        <v>West</v>
      </c>
      <c r="D188" s="4" t="str">
        <f>Dummy_Variables!D188</f>
        <v>Residential</v>
      </c>
      <c r="E188" s="13">
        <f>Dummy_Variables!P188</f>
        <v>819660.59</v>
      </c>
      <c r="F188" s="13">
        <f>Multiple_Regression!$B$44+Multiple_Regression!$B$45*Dummy_Variables!E188+Multiple_Regression!$B$46*Dummy_Variables!F188+Multiple_Regression!$B$47*Dummy_Variables!G188+Multiple_Regression!$B$48*Dummy_Variables!H188+Multiple_Regression!$B$49*Dummy_Variables!I188+Multiple_Regression!$B$50*Dummy_Variables!J188+Multiple_Regression!$B$51*Dummy_Variables!K188+Multiple_Regression!$B$52*Dummy_Variables!L188+Multiple_Regression!$B$53*Dummy_Variables!M188+Multiple_Regression!$B$54*Dummy_Variables!N188</f>
        <v>802492.23818458931</v>
      </c>
      <c r="G188" s="13">
        <f t="shared" si="4"/>
        <v>17168.351815410657</v>
      </c>
      <c r="H188" s="13">
        <f t="shared" si="5"/>
        <v>17168.351815410657</v>
      </c>
    </row>
    <row r="189" spans="1:8" x14ac:dyDescent="0.35">
      <c r="A189" s="4" t="str">
        <f>Dummy_Variables!A189</f>
        <v>STR-1047</v>
      </c>
      <c r="B189" s="12">
        <f>Dummy_Variables!B189</f>
        <v>45658</v>
      </c>
      <c r="C189" s="4" t="str">
        <f>Dummy_Variables!C189</f>
        <v>North</v>
      </c>
      <c r="D189" s="4" t="str">
        <f>Dummy_Variables!D189</f>
        <v>High Street</v>
      </c>
      <c r="E189" s="13">
        <f>Dummy_Variables!P189</f>
        <v>681855.56</v>
      </c>
      <c r="F189" s="13">
        <f>Multiple_Regression!$B$44+Multiple_Regression!$B$45*Dummy_Variables!E189+Multiple_Regression!$B$46*Dummy_Variables!F189+Multiple_Regression!$B$47*Dummy_Variables!G189+Multiple_Regression!$B$48*Dummy_Variables!H189+Multiple_Regression!$B$49*Dummy_Variables!I189+Multiple_Regression!$B$50*Dummy_Variables!J189+Multiple_Regression!$B$51*Dummy_Variables!K189+Multiple_Regression!$B$52*Dummy_Variables!L189+Multiple_Regression!$B$53*Dummy_Variables!M189+Multiple_Regression!$B$54*Dummy_Variables!N189</f>
        <v>714502.19950681936</v>
      </c>
      <c r="G189" s="13">
        <f t="shared" si="4"/>
        <v>-32646.639506819309</v>
      </c>
      <c r="H189" s="13">
        <f t="shared" si="5"/>
        <v>32646.639506819309</v>
      </c>
    </row>
    <row r="190" spans="1:8" x14ac:dyDescent="0.35">
      <c r="A190" s="4" t="str">
        <f>Dummy_Variables!A190</f>
        <v>STR-1047</v>
      </c>
      <c r="B190" s="12">
        <f>Dummy_Variables!B190</f>
        <v>45689</v>
      </c>
      <c r="C190" s="4" t="str">
        <f>Dummy_Variables!C190</f>
        <v>North</v>
      </c>
      <c r="D190" s="4" t="str">
        <f>Dummy_Variables!D190</f>
        <v>High Street</v>
      </c>
      <c r="E190" s="13">
        <f>Dummy_Variables!P190</f>
        <v>678311.17</v>
      </c>
      <c r="F190" s="13">
        <f>Multiple_Regression!$B$44+Multiple_Regression!$B$45*Dummy_Variables!E190+Multiple_Regression!$B$46*Dummy_Variables!F190+Multiple_Regression!$B$47*Dummy_Variables!G190+Multiple_Regression!$B$48*Dummy_Variables!H190+Multiple_Regression!$B$49*Dummy_Variables!I190+Multiple_Regression!$B$50*Dummy_Variables!J190+Multiple_Regression!$B$51*Dummy_Variables!K190+Multiple_Regression!$B$52*Dummy_Variables!L190+Multiple_Regression!$B$53*Dummy_Variables!M190+Multiple_Regression!$B$54*Dummy_Variables!N190</f>
        <v>650854.18641344935</v>
      </c>
      <c r="G190" s="13">
        <f t="shared" si="4"/>
        <v>27456.98358655069</v>
      </c>
      <c r="H190" s="13">
        <f t="shared" si="5"/>
        <v>27456.98358655069</v>
      </c>
    </row>
    <row r="191" spans="1:8" x14ac:dyDescent="0.35">
      <c r="A191" s="4" t="str">
        <f>Dummy_Variables!A191</f>
        <v>STR-1047</v>
      </c>
      <c r="B191" s="12">
        <f>Dummy_Variables!B191</f>
        <v>45717</v>
      </c>
      <c r="C191" s="4" t="str">
        <f>Dummy_Variables!C191</f>
        <v>North</v>
      </c>
      <c r="D191" s="4" t="str">
        <f>Dummy_Variables!D191</f>
        <v>High Street</v>
      </c>
      <c r="E191" s="13">
        <f>Dummy_Variables!P191</f>
        <v>765906.95</v>
      </c>
      <c r="F191" s="13">
        <f>Multiple_Regression!$B$44+Multiple_Regression!$B$45*Dummy_Variables!E191+Multiple_Regression!$B$46*Dummy_Variables!F191+Multiple_Regression!$B$47*Dummy_Variables!G191+Multiple_Regression!$B$48*Dummy_Variables!H191+Multiple_Regression!$B$49*Dummy_Variables!I191+Multiple_Regression!$B$50*Dummy_Variables!J191+Multiple_Regression!$B$51*Dummy_Variables!K191+Multiple_Regression!$B$52*Dummy_Variables!L191+Multiple_Regression!$B$53*Dummy_Variables!M191+Multiple_Regression!$B$54*Dummy_Variables!N191</f>
        <v>733313.15091316879</v>
      </c>
      <c r="G191" s="13">
        <f t="shared" si="4"/>
        <v>32593.799086831161</v>
      </c>
      <c r="H191" s="13">
        <f t="shared" si="5"/>
        <v>32593.799086831161</v>
      </c>
    </row>
    <row r="192" spans="1:8" x14ac:dyDescent="0.35">
      <c r="A192" s="4" t="str">
        <f>Dummy_Variables!A192</f>
        <v>STR-1047</v>
      </c>
      <c r="B192" s="12">
        <f>Dummy_Variables!B192</f>
        <v>45748</v>
      </c>
      <c r="C192" s="4" t="str">
        <f>Dummy_Variables!C192</f>
        <v>North</v>
      </c>
      <c r="D192" s="4" t="str">
        <f>Dummy_Variables!D192</f>
        <v>High Street</v>
      </c>
      <c r="E192" s="13">
        <f>Dummy_Variables!P192</f>
        <v>712546.38</v>
      </c>
      <c r="F192" s="13">
        <f>Multiple_Regression!$B$44+Multiple_Regression!$B$45*Dummy_Variables!E192+Multiple_Regression!$B$46*Dummy_Variables!F192+Multiple_Regression!$B$47*Dummy_Variables!G192+Multiple_Regression!$B$48*Dummy_Variables!H192+Multiple_Regression!$B$49*Dummy_Variables!I192+Multiple_Regression!$B$50*Dummy_Variables!J192+Multiple_Regression!$B$51*Dummy_Variables!K192+Multiple_Regression!$B$52*Dummy_Variables!L192+Multiple_Regression!$B$53*Dummy_Variables!M192+Multiple_Regression!$B$54*Dummy_Variables!N192</f>
        <v>680889.39436461159</v>
      </c>
      <c r="G192" s="13">
        <f t="shared" si="4"/>
        <v>31656.98563538841</v>
      </c>
      <c r="H192" s="13">
        <f t="shared" si="5"/>
        <v>31656.98563538841</v>
      </c>
    </row>
    <row r="193" spans="1:8" x14ac:dyDescent="0.35">
      <c r="A193" s="4" t="str">
        <f>Dummy_Variables!A193</f>
        <v>STR-1048</v>
      </c>
      <c r="B193" s="12">
        <f>Dummy_Variables!B193</f>
        <v>45658</v>
      </c>
      <c r="C193" s="4" t="str">
        <f>Dummy_Variables!C193</f>
        <v>East</v>
      </c>
      <c r="D193" s="4" t="str">
        <f>Dummy_Variables!D193</f>
        <v>High Street</v>
      </c>
      <c r="E193" s="13">
        <f>Dummy_Variables!P193</f>
        <v>625993.82999999996</v>
      </c>
      <c r="F193" s="13">
        <f>Multiple_Regression!$B$44+Multiple_Regression!$B$45*Dummy_Variables!E193+Multiple_Regression!$B$46*Dummy_Variables!F193+Multiple_Regression!$B$47*Dummy_Variables!G193+Multiple_Regression!$B$48*Dummy_Variables!H193+Multiple_Regression!$B$49*Dummy_Variables!I193+Multiple_Regression!$B$50*Dummy_Variables!J193+Multiple_Regression!$B$51*Dummy_Variables!K193+Multiple_Regression!$B$52*Dummy_Variables!L193+Multiple_Regression!$B$53*Dummy_Variables!M193+Multiple_Regression!$B$54*Dummy_Variables!N193</f>
        <v>588701.97321002011</v>
      </c>
      <c r="G193" s="13">
        <f t="shared" si="4"/>
        <v>37291.856789979851</v>
      </c>
      <c r="H193" s="13">
        <f t="shared" si="5"/>
        <v>37291.856789979851</v>
      </c>
    </row>
    <row r="194" spans="1:8" x14ac:dyDescent="0.35">
      <c r="A194" s="4" t="str">
        <f>Dummy_Variables!A194</f>
        <v>STR-1048</v>
      </c>
      <c r="B194" s="12">
        <f>Dummy_Variables!B194</f>
        <v>45689</v>
      </c>
      <c r="C194" s="4" t="str">
        <f>Dummy_Variables!C194</f>
        <v>East</v>
      </c>
      <c r="D194" s="4" t="str">
        <f>Dummy_Variables!D194</f>
        <v>High Street</v>
      </c>
      <c r="E194" s="13">
        <f>Dummy_Variables!P194</f>
        <v>550962.93000000005</v>
      </c>
      <c r="F194" s="13">
        <f>Multiple_Regression!$B$44+Multiple_Regression!$B$45*Dummy_Variables!E194+Multiple_Regression!$B$46*Dummy_Variables!F194+Multiple_Regression!$B$47*Dummy_Variables!G194+Multiple_Regression!$B$48*Dummy_Variables!H194+Multiple_Regression!$B$49*Dummy_Variables!I194+Multiple_Regression!$B$50*Dummy_Variables!J194+Multiple_Regression!$B$51*Dummy_Variables!K194+Multiple_Regression!$B$52*Dummy_Variables!L194+Multiple_Regression!$B$53*Dummy_Variables!M194+Multiple_Regression!$B$54*Dummy_Variables!N194</f>
        <v>555604.6284699653</v>
      </c>
      <c r="G194" s="13">
        <f t="shared" si="4"/>
        <v>-4641.698469965253</v>
      </c>
      <c r="H194" s="13">
        <f t="shared" si="5"/>
        <v>4641.698469965253</v>
      </c>
    </row>
    <row r="195" spans="1:8" x14ac:dyDescent="0.35">
      <c r="A195" s="4" t="str">
        <f>Dummy_Variables!A195</f>
        <v>STR-1048</v>
      </c>
      <c r="B195" s="12">
        <f>Dummy_Variables!B195</f>
        <v>45717</v>
      </c>
      <c r="C195" s="4" t="str">
        <f>Dummy_Variables!C195</f>
        <v>East</v>
      </c>
      <c r="D195" s="4" t="str">
        <f>Dummy_Variables!D195</f>
        <v>High Street</v>
      </c>
      <c r="E195" s="13">
        <f>Dummy_Variables!P195</f>
        <v>443275.59</v>
      </c>
      <c r="F195" s="13">
        <f>Multiple_Regression!$B$44+Multiple_Regression!$B$45*Dummy_Variables!E195+Multiple_Regression!$B$46*Dummy_Variables!F195+Multiple_Regression!$B$47*Dummy_Variables!G195+Multiple_Regression!$B$48*Dummy_Variables!H195+Multiple_Regression!$B$49*Dummy_Variables!I195+Multiple_Regression!$B$50*Dummy_Variables!J195+Multiple_Regression!$B$51*Dummy_Variables!K195+Multiple_Regression!$B$52*Dummy_Variables!L195+Multiple_Regression!$B$53*Dummy_Variables!M195+Multiple_Regression!$B$54*Dummy_Variables!N195</f>
        <v>457125.90823574021</v>
      </c>
      <c r="G195" s="13">
        <f t="shared" si="4"/>
        <v>-13850.318235740182</v>
      </c>
      <c r="H195" s="13">
        <f t="shared" si="5"/>
        <v>13850.318235740182</v>
      </c>
    </row>
    <row r="196" spans="1:8" x14ac:dyDescent="0.35">
      <c r="A196" s="4" t="str">
        <f>Dummy_Variables!A196</f>
        <v>STR-1048</v>
      </c>
      <c r="B196" s="12">
        <f>Dummy_Variables!B196</f>
        <v>45748</v>
      </c>
      <c r="C196" s="4" t="str">
        <f>Dummy_Variables!C196</f>
        <v>East</v>
      </c>
      <c r="D196" s="4" t="str">
        <f>Dummy_Variables!D196</f>
        <v>High Street</v>
      </c>
      <c r="E196" s="13">
        <f>Dummy_Variables!P196</f>
        <v>554012.06999999995</v>
      </c>
      <c r="F196" s="13">
        <f>Multiple_Regression!$B$44+Multiple_Regression!$B$45*Dummy_Variables!E196+Multiple_Regression!$B$46*Dummy_Variables!F196+Multiple_Regression!$B$47*Dummy_Variables!G196+Multiple_Regression!$B$48*Dummy_Variables!H196+Multiple_Regression!$B$49*Dummy_Variables!I196+Multiple_Regression!$B$50*Dummy_Variables!J196+Multiple_Regression!$B$51*Dummy_Variables!K196+Multiple_Regression!$B$52*Dummy_Variables!L196+Multiple_Regression!$B$53*Dummy_Variables!M196+Multiple_Regression!$B$54*Dummy_Variables!N196</f>
        <v>623173.58432980627</v>
      </c>
      <c r="G196" s="13">
        <f t="shared" si="4"/>
        <v>-69161.514329806319</v>
      </c>
      <c r="H196" s="13">
        <f t="shared" si="5"/>
        <v>69161.514329806319</v>
      </c>
    </row>
    <row r="197" spans="1:8" x14ac:dyDescent="0.35">
      <c r="A197" s="4" t="str">
        <f>Dummy_Variables!A197</f>
        <v>STR-1049</v>
      </c>
      <c r="B197" s="12">
        <f>Dummy_Variables!B197</f>
        <v>45658</v>
      </c>
      <c r="C197" s="4" t="str">
        <f>Dummy_Variables!C197</f>
        <v>West</v>
      </c>
      <c r="D197" s="4" t="str">
        <f>Dummy_Variables!D197</f>
        <v>Residential</v>
      </c>
      <c r="E197" s="13">
        <f>Dummy_Variables!P197</f>
        <v>643428.85</v>
      </c>
      <c r="F197" s="13">
        <f>Multiple_Regression!$B$44+Multiple_Regression!$B$45*Dummy_Variables!E197+Multiple_Regression!$B$46*Dummy_Variables!F197+Multiple_Regression!$B$47*Dummy_Variables!G197+Multiple_Regression!$B$48*Dummy_Variables!H197+Multiple_Regression!$B$49*Dummy_Variables!I197+Multiple_Regression!$B$50*Dummy_Variables!J197+Multiple_Regression!$B$51*Dummy_Variables!K197+Multiple_Regression!$B$52*Dummy_Variables!L197+Multiple_Regression!$B$53*Dummy_Variables!M197+Multiple_Regression!$B$54*Dummy_Variables!N197</f>
        <v>678387.43541146128</v>
      </c>
      <c r="G197" s="13">
        <f t="shared" ref="G197:G260" si="6">E197-F197</f>
        <v>-34958.585411461303</v>
      </c>
      <c r="H197" s="13">
        <f t="shared" ref="H197:H260" si="7">ABS(G197)</f>
        <v>34958.585411461303</v>
      </c>
    </row>
    <row r="198" spans="1:8" x14ac:dyDescent="0.35">
      <c r="A198" s="4" t="str">
        <f>Dummy_Variables!A198</f>
        <v>STR-1049</v>
      </c>
      <c r="B198" s="12">
        <f>Dummy_Variables!B198</f>
        <v>45689</v>
      </c>
      <c r="C198" s="4" t="str">
        <f>Dummy_Variables!C198</f>
        <v>West</v>
      </c>
      <c r="D198" s="4" t="str">
        <f>Dummy_Variables!D198</f>
        <v>Residential</v>
      </c>
      <c r="E198" s="13">
        <f>Dummy_Variables!P198</f>
        <v>611924.27</v>
      </c>
      <c r="F198" s="13">
        <f>Multiple_Regression!$B$44+Multiple_Regression!$B$45*Dummy_Variables!E198+Multiple_Regression!$B$46*Dummy_Variables!F198+Multiple_Regression!$B$47*Dummy_Variables!G198+Multiple_Regression!$B$48*Dummy_Variables!H198+Multiple_Regression!$B$49*Dummy_Variables!I198+Multiple_Regression!$B$50*Dummy_Variables!J198+Multiple_Regression!$B$51*Dummy_Variables!K198+Multiple_Regression!$B$52*Dummy_Variables!L198+Multiple_Regression!$B$53*Dummy_Variables!M198+Multiple_Regression!$B$54*Dummy_Variables!N198</f>
        <v>606514.86018220044</v>
      </c>
      <c r="G198" s="13">
        <f t="shared" si="6"/>
        <v>5409.4098177995766</v>
      </c>
      <c r="H198" s="13">
        <f t="shared" si="7"/>
        <v>5409.4098177995766</v>
      </c>
    </row>
    <row r="199" spans="1:8" x14ac:dyDescent="0.35">
      <c r="A199" s="4" t="str">
        <f>Dummy_Variables!A199</f>
        <v>STR-1049</v>
      </c>
      <c r="B199" s="12">
        <f>Dummy_Variables!B199</f>
        <v>45717</v>
      </c>
      <c r="C199" s="4" t="str">
        <f>Dummy_Variables!C199</f>
        <v>West</v>
      </c>
      <c r="D199" s="4" t="str">
        <f>Dummy_Variables!D199</f>
        <v>Residential</v>
      </c>
      <c r="E199" s="13">
        <f>Dummy_Variables!P199</f>
        <v>559422.02</v>
      </c>
      <c r="F199" s="13">
        <f>Multiple_Regression!$B$44+Multiple_Regression!$B$45*Dummy_Variables!E199+Multiple_Regression!$B$46*Dummy_Variables!F199+Multiple_Regression!$B$47*Dummy_Variables!G199+Multiple_Regression!$B$48*Dummy_Variables!H199+Multiple_Regression!$B$49*Dummy_Variables!I199+Multiple_Regression!$B$50*Dummy_Variables!J199+Multiple_Regression!$B$51*Dummy_Variables!K199+Multiple_Regression!$B$52*Dummy_Variables!L199+Multiple_Regression!$B$53*Dummy_Variables!M199+Multiple_Regression!$B$54*Dummy_Variables!N199</f>
        <v>544702.60994135193</v>
      </c>
      <c r="G199" s="13">
        <f t="shared" si="6"/>
        <v>14719.410058648093</v>
      </c>
      <c r="H199" s="13">
        <f t="shared" si="7"/>
        <v>14719.410058648093</v>
      </c>
    </row>
    <row r="200" spans="1:8" x14ac:dyDescent="0.35">
      <c r="A200" s="4" t="str">
        <f>Dummy_Variables!A200</f>
        <v>STR-1049</v>
      </c>
      <c r="B200" s="12">
        <f>Dummy_Variables!B200</f>
        <v>45748</v>
      </c>
      <c r="C200" s="4" t="str">
        <f>Dummy_Variables!C200</f>
        <v>West</v>
      </c>
      <c r="D200" s="4" t="str">
        <f>Dummy_Variables!D200</f>
        <v>Residential</v>
      </c>
      <c r="E200" s="13">
        <f>Dummy_Variables!P200</f>
        <v>449465.06</v>
      </c>
      <c r="F200" s="13">
        <f>Multiple_Regression!$B$44+Multiple_Regression!$B$45*Dummy_Variables!E200+Multiple_Regression!$B$46*Dummy_Variables!F200+Multiple_Regression!$B$47*Dummy_Variables!G200+Multiple_Regression!$B$48*Dummy_Variables!H200+Multiple_Regression!$B$49*Dummy_Variables!I200+Multiple_Regression!$B$50*Dummy_Variables!J200+Multiple_Regression!$B$51*Dummy_Variables!K200+Multiple_Regression!$B$52*Dummy_Variables!L200+Multiple_Regression!$B$53*Dummy_Variables!M200+Multiple_Regression!$B$54*Dummy_Variables!N200</f>
        <v>486005.61183600116</v>
      </c>
      <c r="G200" s="13">
        <f t="shared" si="6"/>
        <v>-36540.551836001163</v>
      </c>
      <c r="H200" s="13">
        <f t="shared" si="7"/>
        <v>36540.551836001163</v>
      </c>
    </row>
    <row r="201" spans="1:8" x14ac:dyDescent="0.35">
      <c r="A201" s="4" t="str">
        <f>Dummy_Variables!A201</f>
        <v>STR-1050</v>
      </c>
      <c r="B201" s="12">
        <f>Dummy_Variables!B201</f>
        <v>45658</v>
      </c>
      <c r="C201" s="4" t="str">
        <f>Dummy_Variables!C201</f>
        <v>North</v>
      </c>
      <c r="D201" s="4" t="str">
        <f>Dummy_Variables!D201</f>
        <v>Residential</v>
      </c>
      <c r="E201" s="13">
        <f>Dummy_Variables!P201</f>
        <v>691447.43</v>
      </c>
      <c r="F201" s="13">
        <f>Multiple_Regression!$B$44+Multiple_Regression!$B$45*Dummy_Variables!E201+Multiple_Regression!$B$46*Dummy_Variables!F201+Multiple_Regression!$B$47*Dummy_Variables!G201+Multiple_Regression!$B$48*Dummy_Variables!H201+Multiple_Regression!$B$49*Dummy_Variables!I201+Multiple_Regression!$B$50*Dummy_Variables!J201+Multiple_Regression!$B$51*Dummy_Variables!K201+Multiple_Regression!$B$52*Dummy_Variables!L201+Multiple_Regression!$B$53*Dummy_Variables!M201+Multiple_Regression!$B$54*Dummy_Variables!N201</f>
        <v>648103.15692111361</v>
      </c>
      <c r="G201" s="13">
        <f t="shared" si="6"/>
        <v>43344.273078886443</v>
      </c>
      <c r="H201" s="13">
        <f t="shared" si="7"/>
        <v>43344.273078886443</v>
      </c>
    </row>
    <row r="202" spans="1:8" x14ac:dyDescent="0.35">
      <c r="A202" s="4" t="str">
        <f>Dummy_Variables!A202</f>
        <v>STR-1050</v>
      </c>
      <c r="B202" s="12">
        <f>Dummy_Variables!B202</f>
        <v>45689</v>
      </c>
      <c r="C202" s="4" t="str">
        <f>Dummy_Variables!C202</f>
        <v>North</v>
      </c>
      <c r="D202" s="4" t="str">
        <f>Dummy_Variables!D202</f>
        <v>Residential</v>
      </c>
      <c r="E202" s="13">
        <f>Dummy_Variables!P202</f>
        <v>574066.61</v>
      </c>
      <c r="F202" s="13">
        <f>Multiple_Regression!$B$44+Multiple_Regression!$B$45*Dummy_Variables!E202+Multiple_Regression!$B$46*Dummy_Variables!F202+Multiple_Regression!$B$47*Dummy_Variables!G202+Multiple_Regression!$B$48*Dummy_Variables!H202+Multiple_Regression!$B$49*Dummy_Variables!I202+Multiple_Regression!$B$50*Dummy_Variables!J202+Multiple_Regression!$B$51*Dummy_Variables!K202+Multiple_Regression!$B$52*Dummy_Variables!L202+Multiple_Regression!$B$53*Dummy_Variables!M202+Multiple_Regression!$B$54*Dummy_Variables!N202</f>
        <v>579812.27921791608</v>
      </c>
      <c r="G202" s="13">
        <f t="shared" si="6"/>
        <v>-5745.6692179160891</v>
      </c>
      <c r="H202" s="13">
        <f t="shared" si="7"/>
        <v>5745.6692179160891</v>
      </c>
    </row>
    <row r="203" spans="1:8" x14ac:dyDescent="0.35">
      <c r="A203" s="4" t="str">
        <f>Dummy_Variables!A203</f>
        <v>STR-1050</v>
      </c>
      <c r="B203" s="12">
        <f>Dummy_Variables!B203</f>
        <v>45717</v>
      </c>
      <c r="C203" s="4" t="str">
        <f>Dummy_Variables!C203</f>
        <v>North</v>
      </c>
      <c r="D203" s="4" t="str">
        <f>Dummy_Variables!D203</f>
        <v>Residential</v>
      </c>
      <c r="E203" s="13">
        <f>Dummy_Variables!P203</f>
        <v>578949.84</v>
      </c>
      <c r="F203" s="13">
        <f>Multiple_Regression!$B$44+Multiple_Regression!$B$45*Dummy_Variables!E203+Multiple_Regression!$B$46*Dummy_Variables!F203+Multiple_Regression!$B$47*Dummy_Variables!G203+Multiple_Regression!$B$48*Dummy_Variables!H203+Multiple_Regression!$B$49*Dummy_Variables!I203+Multiple_Regression!$B$50*Dummy_Variables!J203+Multiple_Regression!$B$51*Dummy_Variables!K203+Multiple_Regression!$B$52*Dummy_Variables!L203+Multiple_Regression!$B$53*Dummy_Variables!M203+Multiple_Regression!$B$54*Dummy_Variables!N203</f>
        <v>614364.49099791807</v>
      </c>
      <c r="G203" s="13">
        <f t="shared" si="6"/>
        <v>-35414.650997918099</v>
      </c>
      <c r="H203" s="13">
        <f t="shared" si="7"/>
        <v>35414.650997918099</v>
      </c>
    </row>
    <row r="204" spans="1:8" x14ac:dyDescent="0.35">
      <c r="A204" s="4" t="str">
        <f>Dummy_Variables!A204</f>
        <v>STR-1050</v>
      </c>
      <c r="B204" s="12">
        <f>Dummy_Variables!B204</f>
        <v>45748</v>
      </c>
      <c r="C204" s="4" t="str">
        <f>Dummy_Variables!C204</f>
        <v>North</v>
      </c>
      <c r="D204" s="4" t="str">
        <f>Dummy_Variables!D204</f>
        <v>Residential</v>
      </c>
      <c r="E204" s="13">
        <f>Dummy_Variables!P204</f>
        <v>735786.64</v>
      </c>
      <c r="F204" s="13">
        <f>Multiple_Regression!$B$44+Multiple_Regression!$B$45*Dummy_Variables!E204+Multiple_Regression!$B$46*Dummy_Variables!F204+Multiple_Regression!$B$47*Dummy_Variables!G204+Multiple_Regression!$B$48*Dummy_Variables!H204+Multiple_Regression!$B$49*Dummy_Variables!I204+Multiple_Regression!$B$50*Dummy_Variables!J204+Multiple_Regression!$B$51*Dummy_Variables!K204+Multiple_Regression!$B$52*Dummy_Variables!L204+Multiple_Regression!$B$53*Dummy_Variables!M204+Multiple_Regression!$B$54*Dummy_Variables!N204</f>
        <v>654625.02026212029</v>
      </c>
      <c r="G204" s="13">
        <f t="shared" si="6"/>
        <v>81161.619737879722</v>
      </c>
      <c r="H204" s="13">
        <f t="shared" si="7"/>
        <v>81161.619737879722</v>
      </c>
    </row>
    <row r="205" spans="1:8" x14ac:dyDescent="0.35">
      <c r="A205" s="4" t="str">
        <f>Dummy_Variables!A205</f>
        <v>STR-1051</v>
      </c>
      <c r="B205" s="12">
        <f>Dummy_Variables!B205</f>
        <v>45658</v>
      </c>
      <c r="C205" s="4" t="str">
        <f>Dummy_Variables!C205</f>
        <v>East</v>
      </c>
      <c r="D205" s="4" t="str">
        <f>Dummy_Variables!D205</f>
        <v>Airport</v>
      </c>
      <c r="E205" s="13">
        <f>Dummy_Variables!P205</f>
        <v>598904.9</v>
      </c>
      <c r="F205" s="13">
        <f>Multiple_Regression!$B$44+Multiple_Regression!$B$45*Dummy_Variables!E205+Multiple_Regression!$B$46*Dummy_Variables!F205+Multiple_Regression!$B$47*Dummy_Variables!G205+Multiple_Regression!$B$48*Dummy_Variables!H205+Multiple_Regression!$B$49*Dummy_Variables!I205+Multiple_Regression!$B$50*Dummy_Variables!J205+Multiple_Regression!$B$51*Dummy_Variables!K205+Multiple_Regression!$B$52*Dummy_Variables!L205+Multiple_Regression!$B$53*Dummy_Variables!M205+Multiple_Regression!$B$54*Dummy_Variables!N205</f>
        <v>662359.51227291103</v>
      </c>
      <c r="G205" s="13">
        <f t="shared" si="6"/>
        <v>-63454.612272911007</v>
      </c>
      <c r="H205" s="13">
        <f t="shared" si="7"/>
        <v>63454.612272911007</v>
      </c>
    </row>
    <row r="206" spans="1:8" x14ac:dyDescent="0.35">
      <c r="A206" s="4" t="str">
        <f>Dummy_Variables!A206</f>
        <v>STR-1051</v>
      </c>
      <c r="B206" s="12">
        <f>Dummy_Variables!B206</f>
        <v>45689</v>
      </c>
      <c r="C206" s="4" t="str">
        <f>Dummy_Variables!C206</f>
        <v>East</v>
      </c>
      <c r="D206" s="4" t="str">
        <f>Dummy_Variables!D206</f>
        <v>Airport</v>
      </c>
      <c r="E206" s="13">
        <f>Dummy_Variables!P206</f>
        <v>787715.51</v>
      </c>
      <c r="F206" s="13">
        <f>Multiple_Regression!$B$44+Multiple_Regression!$B$45*Dummy_Variables!E206+Multiple_Regression!$B$46*Dummy_Variables!F206+Multiple_Regression!$B$47*Dummy_Variables!G206+Multiple_Regression!$B$48*Dummy_Variables!H206+Multiple_Regression!$B$49*Dummy_Variables!I206+Multiple_Regression!$B$50*Dummy_Variables!J206+Multiple_Regression!$B$51*Dummy_Variables!K206+Multiple_Regression!$B$52*Dummy_Variables!L206+Multiple_Regression!$B$53*Dummy_Variables!M206+Multiple_Regression!$B$54*Dummy_Variables!N206</f>
        <v>724325.48734222713</v>
      </c>
      <c r="G206" s="13">
        <f t="shared" si="6"/>
        <v>63390.022657772875</v>
      </c>
      <c r="H206" s="13">
        <f t="shared" si="7"/>
        <v>63390.022657772875</v>
      </c>
    </row>
    <row r="207" spans="1:8" x14ac:dyDescent="0.35">
      <c r="A207" s="4" t="str">
        <f>Dummy_Variables!A207</f>
        <v>STR-1051</v>
      </c>
      <c r="B207" s="12">
        <f>Dummy_Variables!B207</f>
        <v>45717</v>
      </c>
      <c r="C207" s="4" t="str">
        <f>Dummy_Variables!C207</f>
        <v>East</v>
      </c>
      <c r="D207" s="4" t="str">
        <f>Dummy_Variables!D207</f>
        <v>Airport</v>
      </c>
      <c r="E207" s="13">
        <f>Dummy_Variables!P207</f>
        <v>607084.92000000004</v>
      </c>
      <c r="F207" s="13">
        <f>Multiple_Regression!$B$44+Multiple_Regression!$B$45*Dummy_Variables!E207+Multiple_Regression!$B$46*Dummy_Variables!F207+Multiple_Regression!$B$47*Dummy_Variables!G207+Multiple_Regression!$B$48*Dummy_Variables!H207+Multiple_Regression!$B$49*Dummy_Variables!I207+Multiple_Regression!$B$50*Dummy_Variables!J207+Multiple_Regression!$B$51*Dummy_Variables!K207+Multiple_Regression!$B$52*Dummy_Variables!L207+Multiple_Regression!$B$53*Dummy_Variables!M207+Multiple_Regression!$B$54*Dummy_Variables!N207</f>
        <v>684243.11982343951</v>
      </c>
      <c r="G207" s="13">
        <f t="shared" si="6"/>
        <v>-77158.19982343947</v>
      </c>
      <c r="H207" s="13">
        <f t="shared" si="7"/>
        <v>77158.19982343947</v>
      </c>
    </row>
    <row r="208" spans="1:8" x14ac:dyDescent="0.35">
      <c r="A208" s="4" t="str">
        <f>Dummy_Variables!A208</f>
        <v>STR-1051</v>
      </c>
      <c r="B208" s="12">
        <f>Dummy_Variables!B208</f>
        <v>45748</v>
      </c>
      <c r="C208" s="4" t="str">
        <f>Dummy_Variables!C208</f>
        <v>East</v>
      </c>
      <c r="D208" s="4" t="str">
        <f>Dummy_Variables!D208</f>
        <v>Airport</v>
      </c>
      <c r="E208" s="13">
        <f>Dummy_Variables!P208</f>
        <v>650795.49</v>
      </c>
      <c r="F208" s="13">
        <f>Multiple_Regression!$B$44+Multiple_Regression!$B$45*Dummy_Variables!E208+Multiple_Regression!$B$46*Dummy_Variables!F208+Multiple_Regression!$B$47*Dummy_Variables!G208+Multiple_Regression!$B$48*Dummy_Variables!H208+Multiple_Regression!$B$49*Dummy_Variables!I208+Multiple_Regression!$B$50*Dummy_Variables!J208+Multiple_Regression!$B$51*Dummy_Variables!K208+Multiple_Regression!$B$52*Dummy_Variables!L208+Multiple_Regression!$B$53*Dummy_Variables!M208+Multiple_Regression!$B$54*Dummy_Variables!N208</f>
        <v>708132.60235122335</v>
      </c>
      <c r="G208" s="13">
        <f t="shared" si="6"/>
        <v>-57337.112351223361</v>
      </c>
      <c r="H208" s="13">
        <f t="shared" si="7"/>
        <v>57337.112351223361</v>
      </c>
    </row>
    <row r="209" spans="1:8" x14ac:dyDescent="0.35">
      <c r="A209" s="4" t="str">
        <f>Dummy_Variables!A209</f>
        <v>STR-1052</v>
      </c>
      <c r="B209" s="12">
        <f>Dummy_Variables!B209</f>
        <v>45658</v>
      </c>
      <c r="C209" s="4" t="str">
        <f>Dummy_Variables!C209</f>
        <v>East</v>
      </c>
      <c r="D209" s="4" t="str">
        <f>Dummy_Variables!D209</f>
        <v>Mall</v>
      </c>
      <c r="E209" s="13">
        <f>Dummy_Variables!P209</f>
        <v>825060.52</v>
      </c>
      <c r="F209" s="13">
        <f>Multiple_Regression!$B$44+Multiple_Regression!$B$45*Dummy_Variables!E209+Multiple_Regression!$B$46*Dummy_Variables!F209+Multiple_Regression!$B$47*Dummy_Variables!G209+Multiple_Regression!$B$48*Dummy_Variables!H209+Multiple_Regression!$B$49*Dummy_Variables!I209+Multiple_Regression!$B$50*Dummy_Variables!J209+Multiple_Regression!$B$51*Dummy_Variables!K209+Multiple_Regression!$B$52*Dummy_Variables!L209+Multiple_Regression!$B$53*Dummy_Variables!M209+Multiple_Regression!$B$54*Dummy_Variables!N209</f>
        <v>862221.73931833415</v>
      </c>
      <c r="G209" s="13">
        <f t="shared" si="6"/>
        <v>-37161.21931833413</v>
      </c>
      <c r="H209" s="13">
        <f t="shared" si="7"/>
        <v>37161.21931833413</v>
      </c>
    </row>
    <row r="210" spans="1:8" x14ac:dyDescent="0.35">
      <c r="A210" s="4" t="str">
        <f>Dummy_Variables!A210</f>
        <v>STR-1052</v>
      </c>
      <c r="B210" s="12">
        <f>Dummy_Variables!B210</f>
        <v>45689</v>
      </c>
      <c r="C210" s="4" t="str">
        <f>Dummy_Variables!C210</f>
        <v>East</v>
      </c>
      <c r="D210" s="4" t="str">
        <f>Dummy_Variables!D210</f>
        <v>Mall</v>
      </c>
      <c r="E210" s="13">
        <f>Dummy_Variables!P210</f>
        <v>795464.47</v>
      </c>
      <c r="F210" s="13">
        <f>Multiple_Regression!$B$44+Multiple_Regression!$B$45*Dummy_Variables!E210+Multiple_Regression!$B$46*Dummy_Variables!F210+Multiple_Regression!$B$47*Dummy_Variables!G210+Multiple_Regression!$B$48*Dummy_Variables!H210+Multiple_Regression!$B$49*Dummy_Variables!I210+Multiple_Regression!$B$50*Dummy_Variables!J210+Multiple_Regression!$B$51*Dummy_Variables!K210+Multiple_Regression!$B$52*Dummy_Variables!L210+Multiple_Regression!$B$53*Dummy_Variables!M210+Multiple_Regression!$B$54*Dummy_Variables!N210</f>
        <v>760115.90801324439</v>
      </c>
      <c r="G210" s="13">
        <f t="shared" si="6"/>
        <v>35348.56198675558</v>
      </c>
      <c r="H210" s="13">
        <f t="shared" si="7"/>
        <v>35348.56198675558</v>
      </c>
    </row>
    <row r="211" spans="1:8" x14ac:dyDescent="0.35">
      <c r="A211" s="4" t="str">
        <f>Dummy_Variables!A211</f>
        <v>STR-1052</v>
      </c>
      <c r="B211" s="12">
        <f>Dummy_Variables!B211</f>
        <v>45717</v>
      </c>
      <c r="C211" s="4" t="str">
        <f>Dummy_Variables!C211</f>
        <v>East</v>
      </c>
      <c r="D211" s="4" t="str">
        <f>Dummy_Variables!D211</f>
        <v>Mall</v>
      </c>
      <c r="E211" s="13">
        <f>Dummy_Variables!P211</f>
        <v>671868.59</v>
      </c>
      <c r="F211" s="13">
        <f>Multiple_Regression!$B$44+Multiple_Regression!$B$45*Dummy_Variables!E211+Multiple_Regression!$B$46*Dummy_Variables!F211+Multiple_Regression!$B$47*Dummy_Variables!G211+Multiple_Regression!$B$48*Dummy_Variables!H211+Multiple_Regression!$B$49*Dummy_Variables!I211+Multiple_Regression!$B$50*Dummy_Variables!J211+Multiple_Regression!$B$51*Dummy_Variables!K211+Multiple_Regression!$B$52*Dummy_Variables!L211+Multiple_Regression!$B$53*Dummy_Variables!M211+Multiple_Regression!$B$54*Dummy_Variables!N211</f>
        <v>742620.45483345981</v>
      </c>
      <c r="G211" s="13">
        <f t="shared" si="6"/>
        <v>-70751.86483345984</v>
      </c>
      <c r="H211" s="13">
        <f t="shared" si="7"/>
        <v>70751.86483345984</v>
      </c>
    </row>
    <row r="212" spans="1:8" x14ac:dyDescent="0.35">
      <c r="A212" s="4" t="str">
        <f>Dummy_Variables!A212</f>
        <v>STR-1052</v>
      </c>
      <c r="B212" s="12">
        <f>Dummy_Variables!B212</f>
        <v>45748</v>
      </c>
      <c r="C212" s="4" t="str">
        <f>Dummy_Variables!C212</f>
        <v>East</v>
      </c>
      <c r="D212" s="4" t="str">
        <f>Dummy_Variables!D212</f>
        <v>Mall</v>
      </c>
      <c r="E212" s="13">
        <f>Dummy_Variables!P212</f>
        <v>675917.63</v>
      </c>
      <c r="F212" s="13">
        <f>Multiple_Regression!$B$44+Multiple_Regression!$B$45*Dummy_Variables!E212+Multiple_Regression!$B$46*Dummy_Variables!F212+Multiple_Regression!$B$47*Dummy_Variables!G212+Multiple_Regression!$B$48*Dummy_Variables!H212+Multiple_Regression!$B$49*Dummy_Variables!I212+Multiple_Regression!$B$50*Dummy_Variables!J212+Multiple_Regression!$B$51*Dummy_Variables!K212+Multiple_Regression!$B$52*Dummy_Variables!L212+Multiple_Regression!$B$53*Dummy_Variables!M212+Multiple_Regression!$B$54*Dummy_Variables!N212</f>
        <v>769642.4415187639</v>
      </c>
      <c r="G212" s="13">
        <f t="shared" si="6"/>
        <v>-93724.81151876389</v>
      </c>
      <c r="H212" s="13">
        <f t="shared" si="7"/>
        <v>93724.81151876389</v>
      </c>
    </row>
    <row r="213" spans="1:8" x14ac:dyDescent="0.35">
      <c r="A213" s="4" t="str">
        <f>Dummy_Variables!A213</f>
        <v>STR-1053</v>
      </c>
      <c r="B213" s="12">
        <f>Dummy_Variables!B213</f>
        <v>45658</v>
      </c>
      <c r="C213" s="4" t="str">
        <f>Dummy_Variables!C213</f>
        <v>East</v>
      </c>
      <c r="D213" s="4" t="str">
        <f>Dummy_Variables!D213</f>
        <v>High Street</v>
      </c>
      <c r="E213" s="13">
        <f>Dummy_Variables!P213</f>
        <v>810446.53</v>
      </c>
      <c r="F213" s="13">
        <f>Multiple_Regression!$B$44+Multiple_Regression!$B$45*Dummy_Variables!E213+Multiple_Regression!$B$46*Dummy_Variables!F213+Multiple_Regression!$B$47*Dummy_Variables!G213+Multiple_Regression!$B$48*Dummy_Variables!H213+Multiple_Regression!$B$49*Dummy_Variables!I213+Multiple_Regression!$B$50*Dummy_Variables!J213+Multiple_Regression!$B$51*Dummy_Variables!K213+Multiple_Regression!$B$52*Dummy_Variables!L213+Multiple_Regression!$B$53*Dummy_Variables!M213+Multiple_Regression!$B$54*Dummy_Variables!N213</f>
        <v>816207.91109463701</v>
      </c>
      <c r="G213" s="13">
        <f t="shared" si="6"/>
        <v>-5761.3810946369777</v>
      </c>
      <c r="H213" s="13">
        <f t="shared" si="7"/>
        <v>5761.3810946369777</v>
      </c>
    </row>
    <row r="214" spans="1:8" x14ac:dyDescent="0.35">
      <c r="A214" s="4" t="str">
        <f>Dummy_Variables!A214</f>
        <v>STR-1053</v>
      </c>
      <c r="B214" s="12">
        <f>Dummy_Variables!B214</f>
        <v>45689</v>
      </c>
      <c r="C214" s="4" t="str">
        <f>Dummy_Variables!C214</f>
        <v>East</v>
      </c>
      <c r="D214" s="4" t="str">
        <f>Dummy_Variables!D214</f>
        <v>High Street</v>
      </c>
      <c r="E214" s="13">
        <f>Dummy_Variables!P214</f>
        <v>691288.19</v>
      </c>
      <c r="F214" s="13">
        <f>Multiple_Regression!$B$44+Multiple_Regression!$B$45*Dummy_Variables!E214+Multiple_Regression!$B$46*Dummy_Variables!F214+Multiple_Regression!$B$47*Dummy_Variables!G214+Multiple_Regression!$B$48*Dummy_Variables!H214+Multiple_Regression!$B$49*Dummy_Variables!I214+Multiple_Regression!$B$50*Dummy_Variables!J214+Multiple_Regression!$B$51*Dummy_Variables!K214+Multiple_Regression!$B$52*Dummy_Variables!L214+Multiple_Regression!$B$53*Dummy_Variables!M214+Multiple_Regression!$B$54*Dummy_Variables!N214</f>
        <v>762014.77538965689</v>
      </c>
      <c r="G214" s="13">
        <f t="shared" si="6"/>
        <v>-70726.585389656946</v>
      </c>
      <c r="H214" s="13">
        <f t="shared" si="7"/>
        <v>70726.585389656946</v>
      </c>
    </row>
    <row r="215" spans="1:8" x14ac:dyDescent="0.35">
      <c r="A215" s="4" t="str">
        <f>Dummy_Variables!A215</f>
        <v>STR-1053</v>
      </c>
      <c r="B215" s="12">
        <f>Dummy_Variables!B215</f>
        <v>45717</v>
      </c>
      <c r="C215" s="4" t="str">
        <f>Dummy_Variables!C215</f>
        <v>East</v>
      </c>
      <c r="D215" s="4" t="str">
        <f>Dummy_Variables!D215</f>
        <v>High Street</v>
      </c>
      <c r="E215" s="13">
        <f>Dummy_Variables!P215</f>
        <v>946833.54</v>
      </c>
      <c r="F215" s="13">
        <f>Multiple_Regression!$B$44+Multiple_Regression!$B$45*Dummy_Variables!E215+Multiple_Regression!$B$46*Dummy_Variables!F215+Multiple_Regression!$B$47*Dummy_Variables!G215+Multiple_Regression!$B$48*Dummy_Variables!H215+Multiple_Regression!$B$49*Dummy_Variables!I215+Multiple_Regression!$B$50*Dummy_Variables!J215+Multiple_Regression!$B$51*Dummy_Variables!K215+Multiple_Regression!$B$52*Dummy_Variables!L215+Multiple_Regression!$B$53*Dummy_Variables!M215+Multiple_Regression!$B$54*Dummy_Variables!N215</f>
        <v>980257.8424386048</v>
      </c>
      <c r="G215" s="13">
        <f t="shared" si="6"/>
        <v>-33424.302438604762</v>
      </c>
      <c r="H215" s="13">
        <f t="shared" si="7"/>
        <v>33424.302438604762</v>
      </c>
    </row>
    <row r="216" spans="1:8" x14ac:dyDescent="0.35">
      <c r="A216" s="4" t="str">
        <f>Dummy_Variables!A216</f>
        <v>STR-1053</v>
      </c>
      <c r="B216" s="12">
        <f>Dummy_Variables!B216</f>
        <v>45748</v>
      </c>
      <c r="C216" s="4" t="str">
        <f>Dummy_Variables!C216</f>
        <v>East</v>
      </c>
      <c r="D216" s="4" t="str">
        <f>Dummy_Variables!D216</f>
        <v>High Street</v>
      </c>
      <c r="E216" s="13">
        <f>Dummy_Variables!P216</f>
        <v>761963.23</v>
      </c>
      <c r="F216" s="13">
        <f>Multiple_Regression!$B$44+Multiple_Regression!$B$45*Dummy_Variables!E216+Multiple_Regression!$B$46*Dummy_Variables!F216+Multiple_Regression!$B$47*Dummy_Variables!G216+Multiple_Regression!$B$48*Dummy_Variables!H216+Multiple_Regression!$B$49*Dummy_Variables!I216+Multiple_Regression!$B$50*Dummy_Variables!J216+Multiple_Regression!$B$51*Dummy_Variables!K216+Multiple_Regression!$B$52*Dummy_Variables!L216+Multiple_Regression!$B$53*Dummy_Variables!M216+Multiple_Regression!$B$54*Dummy_Variables!N216</f>
        <v>754232.30676034046</v>
      </c>
      <c r="G216" s="13">
        <f t="shared" si="6"/>
        <v>7730.923239659518</v>
      </c>
      <c r="H216" s="13">
        <f t="shared" si="7"/>
        <v>7730.923239659518</v>
      </c>
    </row>
    <row r="217" spans="1:8" x14ac:dyDescent="0.35">
      <c r="A217" s="4" t="str">
        <f>Dummy_Variables!A217</f>
        <v>STR-1054</v>
      </c>
      <c r="B217" s="12">
        <f>Dummy_Variables!B217</f>
        <v>45658</v>
      </c>
      <c r="C217" s="4" t="str">
        <f>Dummy_Variables!C217</f>
        <v>West</v>
      </c>
      <c r="D217" s="4" t="str">
        <f>Dummy_Variables!D217</f>
        <v>Residential</v>
      </c>
      <c r="E217" s="13">
        <f>Dummy_Variables!P217</f>
        <v>812152.6</v>
      </c>
      <c r="F217" s="13">
        <f>Multiple_Regression!$B$44+Multiple_Regression!$B$45*Dummy_Variables!E217+Multiple_Regression!$B$46*Dummy_Variables!F217+Multiple_Regression!$B$47*Dummy_Variables!G217+Multiple_Regression!$B$48*Dummy_Variables!H217+Multiple_Regression!$B$49*Dummy_Variables!I217+Multiple_Regression!$B$50*Dummy_Variables!J217+Multiple_Regression!$B$51*Dummy_Variables!K217+Multiple_Regression!$B$52*Dummy_Variables!L217+Multiple_Regression!$B$53*Dummy_Variables!M217+Multiple_Regression!$B$54*Dummy_Variables!N217</f>
        <v>768703.00730429287</v>
      </c>
      <c r="G217" s="13">
        <f t="shared" si="6"/>
        <v>43449.592695707106</v>
      </c>
      <c r="H217" s="13">
        <f t="shared" si="7"/>
        <v>43449.592695707106</v>
      </c>
    </row>
    <row r="218" spans="1:8" x14ac:dyDescent="0.35">
      <c r="A218" s="4" t="str">
        <f>Dummy_Variables!A218</f>
        <v>STR-1054</v>
      </c>
      <c r="B218" s="12">
        <f>Dummy_Variables!B218</f>
        <v>45689</v>
      </c>
      <c r="C218" s="4" t="str">
        <f>Dummy_Variables!C218</f>
        <v>West</v>
      </c>
      <c r="D218" s="4" t="str">
        <f>Dummy_Variables!D218</f>
        <v>Residential</v>
      </c>
      <c r="E218" s="13">
        <f>Dummy_Variables!P218</f>
        <v>804975.5</v>
      </c>
      <c r="F218" s="13">
        <f>Multiple_Regression!$B$44+Multiple_Regression!$B$45*Dummy_Variables!E218+Multiple_Regression!$B$46*Dummy_Variables!F218+Multiple_Regression!$B$47*Dummy_Variables!G218+Multiple_Regression!$B$48*Dummy_Variables!H218+Multiple_Regression!$B$49*Dummy_Variables!I218+Multiple_Regression!$B$50*Dummy_Variables!J218+Multiple_Regression!$B$51*Dummy_Variables!K218+Multiple_Regression!$B$52*Dummy_Variables!L218+Multiple_Regression!$B$53*Dummy_Variables!M218+Multiple_Regression!$B$54*Dummy_Variables!N218</f>
        <v>751650.34178972885</v>
      </c>
      <c r="G218" s="13">
        <f t="shared" si="6"/>
        <v>53325.158210271155</v>
      </c>
      <c r="H218" s="13">
        <f t="shared" si="7"/>
        <v>53325.158210271155</v>
      </c>
    </row>
    <row r="219" spans="1:8" x14ac:dyDescent="0.35">
      <c r="A219" s="4" t="str">
        <f>Dummy_Variables!A219</f>
        <v>STR-1054</v>
      </c>
      <c r="B219" s="12">
        <f>Dummy_Variables!B219</f>
        <v>45717</v>
      </c>
      <c r="C219" s="4" t="str">
        <f>Dummy_Variables!C219</f>
        <v>West</v>
      </c>
      <c r="D219" s="4" t="str">
        <f>Dummy_Variables!D219</f>
        <v>Residential</v>
      </c>
      <c r="E219" s="13">
        <f>Dummy_Variables!P219</f>
        <v>752321.72</v>
      </c>
      <c r="F219" s="13">
        <f>Multiple_Regression!$B$44+Multiple_Regression!$B$45*Dummy_Variables!E219+Multiple_Regression!$B$46*Dummy_Variables!F219+Multiple_Regression!$B$47*Dummy_Variables!G219+Multiple_Regression!$B$48*Dummy_Variables!H219+Multiple_Regression!$B$49*Dummy_Variables!I219+Multiple_Regression!$B$50*Dummy_Variables!J219+Multiple_Regression!$B$51*Dummy_Variables!K219+Multiple_Regression!$B$52*Dummy_Variables!L219+Multiple_Regression!$B$53*Dummy_Variables!M219+Multiple_Regression!$B$54*Dummy_Variables!N219</f>
        <v>759009.4175256734</v>
      </c>
      <c r="G219" s="13">
        <f t="shared" si="6"/>
        <v>-6687.6975256734295</v>
      </c>
      <c r="H219" s="13">
        <f t="shared" si="7"/>
        <v>6687.6975256734295</v>
      </c>
    </row>
    <row r="220" spans="1:8" x14ac:dyDescent="0.35">
      <c r="A220" s="4" t="str">
        <f>Dummy_Variables!A220</f>
        <v>STR-1054</v>
      </c>
      <c r="B220" s="12">
        <f>Dummy_Variables!B220</f>
        <v>45748</v>
      </c>
      <c r="C220" s="4" t="str">
        <f>Dummy_Variables!C220</f>
        <v>West</v>
      </c>
      <c r="D220" s="4" t="str">
        <f>Dummy_Variables!D220</f>
        <v>Residential</v>
      </c>
      <c r="E220" s="13">
        <f>Dummy_Variables!P220</f>
        <v>836908.24</v>
      </c>
      <c r="F220" s="13">
        <f>Multiple_Regression!$B$44+Multiple_Regression!$B$45*Dummy_Variables!E220+Multiple_Regression!$B$46*Dummy_Variables!F220+Multiple_Regression!$B$47*Dummy_Variables!G220+Multiple_Regression!$B$48*Dummy_Variables!H220+Multiple_Regression!$B$49*Dummy_Variables!I220+Multiple_Regression!$B$50*Dummy_Variables!J220+Multiple_Regression!$B$51*Dummy_Variables!K220+Multiple_Regression!$B$52*Dummy_Variables!L220+Multiple_Regression!$B$53*Dummy_Variables!M220+Multiple_Regression!$B$54*Dummy_Variables!N220</f>
        <v>823481.77618175442</v>
      </c>
      <c r="G220" s="13">
        <f t="shared" si="6"/>
        <v>13426.463818245567</v>
      </c>
      <c r="H220" s="13">
        <f t="shared" si="7"/>
        <v>13426.463818245567</v>
      </c>
    </row>
    <row r="221" spans="1:8" x14ac:dyDescent="0.35">
      <c r="A221" s="4" t="str">
        <f>Dummy_Variables!A221</f>
        <v>STR-1055</v>
      </c>
      <c r="B221" s="12">
        <f>Dummy_Variables!B221</f>
        <v>45658</v>
      </c>
      <c r="C221" s="4" t="str">
        <f>Dummy_Variables!C221</f>
        <v>North</v>
      </c>
      <c r="D221" s="4" t="str">
        <f>Dummy_Variables!D221</f>
        <v>Airport</v>
      </c>
      <c r="E221" s="13">
        <f>Dummy_Variables!P221</f>
        <v>674289.1</v>
      </c>
      <c r="F221" s="13">
        <f>Multiple_Regression!$B$44+Multiple_Regression!$B$45*Dummy_Variables!E221+Multiple_Regression!$B$46*Dummy_Variables!F221+Multiple_Regression!$B$47*Dummy_Variables!G221+Multiple_Regression!$B$48*Dummy_Variables!H221+Multiple_Regression!$B$49*Dummy_Variables!I221+Multiple_Regression!$B$50*Dummy_Variables!J221+Multiple_Regression!$B$51*Dummy_Variables!K221+Multiple_Regression!$B$52*Dummy_Variables!L221+Multiple_Regression!$B$53*Dummy_Variables!M221+Multiple_Regression!$B$54*Dummy_Variables!N221</f>
        <v>659251.50370476965</v>
      </c>
      <c r="G221" s="13">
        <f t="shared" si="6"/>
        <v>15037.596295230323</v>
      </c>
      <c r="H221" s="13">
        <f t="shared" si="7"/>
        <v>15037.596295230323</v>
      </c>
    </row>
    <row r="222" spans="1:8" x14ac:dyDescent="0.35">
      <c r="A222" s="4" t="str">
        <f>Dummy_Variables!A222</f>
        <v>STR-1055</v>
      </c>
      <c r="B222" s="12">
        <f>Dummy_Variables!B222</f>
        <v>45689</v>
      </c>
      <c r="C222" s="4" t="str">
        <f>Dummy_Variables!C222</f>
        <v>North</v>
      </c>
      <c r="D222" s="4" t="str">
        <f>Dummy_Variables!D222</f>
        <v>Airport</v>
      </c>
      <c r="E222" s="13">
        <f>Dummy_Variables!P222</f>
        <v>622892.42000000004</v>
      </c>
      <c r="F222" s="13">
        <f>Multiple_Regression!$B$44+Multiple_Regression!$B$45*Dummy_Variables!E222+Multiple_Regression!$B$46*Dummy_Variables!F222+Multiple_Regression!$B$47*Dummy_Variables!G222+Multiple_Regression!$B$48*Dummy_Variables!H222+Multiple_Regression!$B$49*Dummy_Variables!I222+Multiple_Regression!$B$50*Dummy_Variables!J222+Multiple_Regression!$B$51*Dummy_Variables!K222+Multiple_Regression!$B$52*Dummy_Variables!L222+Multiple_Regression!$B$53*Dummy_Variables!M222+Multiple_Regression!$B$54*Dummy_Variables!N222</f>
        <v>619022.35784325434</v>
      </c>
      <c r="G222" s="13">
        <f t="shared" si="6"/>
        <v>3870.0621567456983</v>
      </c>
      <c r="H222" s="13">
        <f t="shared" si="7"/>
        <v>3870.0621567456983</v>
      </c>
    </row>
    <row r="223" spans="1:8" x14ac:dyDescent="0.35">
      <c r="A223" s="4" t="str">
        <f>Dummy_Variables!A223</f>
        <v>STR-1055</v>
      </c>
      <c r="B223" s="12">
        <f>Dummy_Variables!B223</f>
        <v>45717</v>
      </c>
      <c r="C223" s="4" t="str">
        <f>Dummy_Variables!C223</f>
        <v>North</v>
      </c>
      <c r="D223" s="4" t="str">
        <f>Dummy_Variables!D223</f>
        <v>Airport</v>
      </c>
      <c r="E223" s="13">
        <f>Dummy_Variables!P223</f>
        <v>673348.56</v>
      </c>
      <c r="F223" s="13">
        <f>Multiple_Regression!$B$44+Multiple_Regression!$B$45*Dummy_Variables!E223+Multiple_Regression!$B$46*Dummy_Variables!F223+Multiple_Regression!$B$47*Dummy_Variables!G223+Multiple_Regression!$B$48*Dummy_Variables!H223+Multiple_Regression!$B$49*Dummy_Variables!I223+Multiple_Regression!$B$50*Dummy_Variables!J223+Multiple_Regression!$B$51*Dummy_Variables!K223+Multiple_Regression!$B$52*Dummy_Variables!L223+Multiple_Regression!$B$53*Dummy_Variables!M223+Multiple_Regression!$B$54*Dummy_Variables!N223</f>
        <v>643464.81475158548</v>
      </c>
      <c r="G223" s="13">
        <f t="shared" si="6"/>
        <v>29883.745248414576</v>
      </c>
      <c r="H223" s="13">
        <f t="shared" si="7"/>
        <v>29883.745248414576</v>
      </c>
    </row>
    <row r="224" spans="1:8" x14ac:dyDescent="0.35">
      <c r="A224" s="4" t="str">
        <f>Dummy_Variables!A224</f>
        <v>STR-1055</v>
      </c>
      <c r="B224" s="12">
        <f>Dummy_Variables!B224</f>
        <v>45748</v>
      </c>
      <c r="C224" s="4" t="str">
        <f>Dummy_Variables!C224</f>
        <v>North</v>
      </c>
      <c r="D224" s="4" t="str">
        <f>Dummy_Variables!D224</f>
        <v>Airport</v>
      </c>
      <c r="E224" s="13">
        <f>Dummy_Variables!P224</f>
        <v>606278.30000000005</v>
      </c>
      <c r="F224" s="13">
        <f>Multiple_Regression!$B$44+Multiple_Regression!$B$45*Dummy_Variables!E224+Multiple_Regression!$B$46*Dummy_Variables!F224+Multiple_Regression!$B$47*Dummy_Variables!G224+Multiple_Regression!$B$48*Dummy_Variables!H224+Multiple_Regression!$B$49*Dummy_Variables!I224+Multiple_Regression!$B$50*Dummy_Variables!J224+Multiple_Regression!$B$51*Dummy_Variables!K224+Multiple_Regression!$B$52*Dummy_Variables!L224+Multiple_Regression!$B$53*Dummy_Variables!M224+Multiple_Regression!$B$54*Dummy_Variables!N224</f>
        <v>619649.984119014</v>
      </c>
      <c r="G224" s="13">
        <f t="shared" si="6"/>
        <v>-13371.684119013953</v>
      </c>
      <c r="H224" s="13">
        <f t="shared" si="7"/>
        <v>13371.684119013953</v>
      </c>
    </row>
    <row r="225" spans="1:8" x14ac:dyDescent="0.35">
      <c r="A225" s="4" t="str">
        <f>Dummy_Variables!A225</f>
        <v>STR-1056</v>
      </c>
      <c r="B225" s="12">
        <f>Dummy_Variables!B225</f>
        <v>45658</v>
      </c>
      <c r="C225" s="4" t="str">
        <f>Dummy_Variables!C225</f>
        <v>East</v>
      </c>
      <c r="D225" s="4" t="str">
        <f>Dummy_Variables!D225</f>
        <v>High Street</v>
      </c>
      <c r="E225" s="13">
        <f>Dummy_Variables!P225</f>
        <v>712219.81</v>
      </c>
      <c r="F225" s="13">
        <f>Multiple_Regression!$B$44+Multiple_Regression!$B$45*Dummy_Variables!E225+Multiple_Regression!$B$46*Dummy_Variables!F225+Multiple_Regression!$B$47*Dummy_Variables!G225+Multiple_Regression!$B$48*Dummy_Variables!H225+Multiple_Regression!$B$49*Dummy_Variables!I225+Multiple_Regression!$B$50*Dummy_Variables!J225+Multiple_Regression!$B$51*Dummy_Variables!K225+Multiple_Regression!$B$52*Dummy_Variables!L225+Multiple_Regression!$B$53*Dummy_Variables!M225+Multiple_Regression!$B$54*Dummy_Variables!N225</f>
        <v>711326.63570139115</v>
      </c>
      <c r="G225" s="13">
        <f t="shared" si="6"/>
        <v>893.17429860890843</v>
      </c>
      <c r="H225" s="13">
        <f t="shared" si="7"/>
        <v>893.17429860890843</v>
      </c>
    </row>
    <row r="226" spans="1:8" x14ac:dyDescent="0.35">
      <c r="A226" s="4" t="str">
        <f>Dummy_Variables!A226</f>
        <v>STR-1056</v>
      </c>
      <c r="B226" s="12">
        <f>Dummy_Variables!B226</f>
        <v>45689</v>
      </c>
      <c r="C226" s="4" t="str">
        <f>Dummy_Variables!C226</f>
        <v>East</v>
      </c>
      <c r="D226" s="4" t="str">
        <f>Dummy_Variables!D226</f>
        <v>High Street</v>
      </c>
      <c r="E226" s="13">
        <f>Dummy_Variables!P226</f>
        <v>672670.54</v>
      </c>
      <c r="F226" s="13">
        <f>Multiple_Regression!$B$44+Multiple_Regression!$B$45*Dummy_Variables!E226+Multiple_Regression!$B$46*Dummy_Variables!F226+Multiple_Regression!$B$47*Dummy_Variables!G226+Multiple_Regression!$B$48*Dummy_Variables!H226+Multiple_Regression!$B$49*Dummy_Variables!I226+Multiple_Regression!$B$50*Dummy_Variables!J226+Multiple_Regression!$B$51*Dummy_Variables!K226+Multiple_Regression!$B$52*Dummy_Variables!L226+Multiple_Regression!$B$53*Dummy_Variables!M226+Multiple_Regression!$B$54*Dummy_Variables!N226</f>
        <v>684071.59369640506</v>
      </c>
      <c r="G226" s="13">
        <f t="shared" si="6"/>
        <v>-11401.053696405026</v>
      </c>
      <c r="H226" s="13">
        <f t="shared" si="7"/>
        <v>11401.053696405026</v>
      </c>
    </row>
    <row r="227" spans="1:8" x14ac:dyDescent="0.35">
      <c r="A227" s="4" t="str">
        <f>Dummy_Variables!A227</f>
        <v>STR-1056</v>
      </c>
      <c r="B227" s="12">
        <f>Dummy_Variables!B227</f>
        <v>45717</v>
      </c>
      <c r="C227" s="4" t="str">
        <f>Dummy_Variables!C227</f>
        <v>East</v>
      </c>
      <c r="D227" s="4" t="str">
        <f>Dummy_Variables!D227</f>
        <v>High Street</v>
      </c>
      <c r="E227" s="13">
        <f>Dummy_Variables!P227</f>
        <v>732667.92</v>
      </c>
      <c r="F227" s="13">
        <f>Multiple_Regression!$B$44+Multiple_Regression!$B$45*Dummy_Variables!E227+Multiple_Regression!$B$46*Dummy_Variables!F227+Multiple_Regression!$B$47*Dummy_Variables!G227+Multiple_Regression!$B$48*Dummy_Variables!H227+Multiple_Regression!$B$49*Dummy_Variables!I227+Multiple_Regression!$B$50*Dummy_Variables!J227+Multiple_Regression!$B$51*Dummy_Variables!K227+Multiple_Regression!$B$52*Dummy_Variables!L227+Multiple_Regression!$B$53*Dummy_Variables!M227+Multiple_Regression!$B$54*Dummy_Variables!N227</f>
        <v>735893.93294829386</v>
      </c>
      <c r="G227" s="13">
        <f t="shared" si="6"/>
        <v>-3226.012948293821</v>
      </c>
      <c r="H227" s="13">
        <f t="shared" si="7"/>
        <v>3226.012948293821</v>
      </c>
    </row>
    <row r="228" spans="1:8" x14ac:dyDescent="0.35">
      <c r="A228" s="4" t="str">
        <f>Dummy_Variables!A228</f>
        <v>STR-1056</v>
      </c>
      <c r="B228" s="12">
        <f>Dummy_Variables!B228</f>
        <v>45748</v>
      </c>
      <c r="C228" s="4" t="str">
        <f>Dummy_Variables!C228</f>
        <v>East</v>
      </c>
      <c r="D228" s="4" t="str">
        <f>Dummy_Variables!D228</f>
        <v>High Street</v>
      </c>
      <c r="E228" s="13">
        <f>Dummy_Variables!P228</f>
        <v>723531.4</v>
      </c>
      <c r="F228" s="13">
        <f>Multiple_Regression!$B$44+Multiple_Regression!$B$45*Dummy_Variables!E228+Multiple_Regression!$B$46*Dummy_Variables!F228+Multiple_Regression!$B$47*Dummy_Variables!G228+Multiple_Regression!$B$48*Dummy_Variables!H228+Multiple_Regression!$B$49*Dummy_Variables!I228+Multiple_Regression!$B$50*Dummy_Variables!J228+Multiple_Regression!$B$51*Dummy_Variables!K228+Multiple_Regression!$B$52*Dummy_Variables!L228+Multiple_Regression!$B$53*Dummy_Variables!M228+Multiple_Regression!$B$54*Dummy_Variables!N228</f>
        <v>756457.3061275467</v>
      </c>
      <c r="G228" s="13">
        <f t="shared" si="6"/>
        <v>-32925.906127546681</v>
      </c>
      <c r="H228" s="13">
        <f t="shared" si="7"/>
        <v>32925.906127546681</v>
      </c>
    </row>
    <row r="229" spans="1:8" x14ac:dyDescent="0.35">
      <c r="A229" s="4" t="str">
        <f>Dummy_Variables!A229</f>
        <v>STR-1057</v>
      </c>
      <c r="B229" s="12">
        <f>Dummy_Variables!B229</f>
        <v>45658</v>
      </c>
      <c r="C229" s="4" t="str">
        <f>Dummy_Variables!C229</f>
        <v>East</v>
      </c>
      <c r="D229" s="4" t="str">
        <f>Dummy_Variables!D229</f>
        <v>Mall</v>
      </c>
      <c r="E229" s="13">
        <f>Dummy_Variables!P229</f>
        <v>641564.6</v>
      </c>
      <c r="F229" s="13">
        <f>Multiple_Regression!$B$44+Multiple_Regression!$B$45*Dummy_Variables!E229+Multiple_Regression!$B$46*Dummy_Variables!F229+Multiple_Regression!$B$47*Dummy_Variables!G229+Multiple_Regression!$B$48*Dummy_Variables!H229+Multiple_Regression!$B$49*Dummy_Variables!I229+Multiple_Regression!$B$50*Dummy_Variables!J229+Multiple_Regression!$B$51*Dummy_Variables!K229+Multiple_Regression!$B$52*Dummy_Variables!L229+Multiple_Regression!$B$53*Dummy_Variables!M229+Multiple_Regression!$B$54*Dummy_Variables!N229</f>
        <v>624176.02725638798</v>
      </c>
      <c r="G229" s="13">
        <f t="shared" si="6"/>
        <v>17388.572743611992</v>
      </c>
      <c r="H229" s="13">
        <f t="shared" si="7"/>
        <v>17388.572743611992</v>
      </c>
    </row>
    <row r="230" spans="1:8" x14ac:dyDescent="0.35">
      <c r="A230" s="4" t="str">
        <f>Dummy_Variables!A230</f>
        <v>STR-1057</v>
      </c>
      <c r="B230" s="12">
        <f>Dummy_Variables!B230</f>
        <v>45689</v>
      </c>
      <c r="C230" s="4" t="str">
        <f>Dummy_Variables!C230</f>
        <v>East</v>
      </c>
      <c r="D230" s="4" t="str">
        <f>Dummy_Variables!D230</f>
        <v>Mall</v>
      </c>
      <c r="E230" s="13">
        <f>Dummy_Variables!P230</f>
        <v>536545.49</v>
      </c>
      <c r="F230" s="13">
        <f>Multiple_Regression!$B$44+Multiple_Regression!$B$45*Dummy_Variables!E230+Multiple_Regression!$B$46*Dummy_Variables!F230+Multiple_Regression!$B$47*Dummy_Variables!G230+Multiple_Regression!$B$48*Dummy_Variables!H230+Multiple_Regression!$B$49*Dummy_Variables!I230+Multiple_Regression!$B$50*Dummy_Variables!J230+Multiple_Regression!$B$51*Dummy_Variables!K230+Multiple_Regression!$B$52*Dummy_Variables!L230+Multiple_Regression!$B$53*Dummy_Variables!M230+Multiple_Regression!$B$54*Dummy_Variables!N230</f>
        <v>531921.5526712999</v>
      </c>
      <c r="G230" s="13">
        <f t="shared" si="6"/>
        <v>4623.9373287000926</v>
      </c>
      <c r="H230" s="13">
        <f t="shared" si="7"/>
        <v>4623.9373287000926</v>
      </c>
    </row>
    <row r="231" spans="1:8" x14ac:dyDescent="0.35">
      <c r="A231" s="4" t="str">
        <f>Dummy_Variables!A231</f>
        <v>STR-1057</v>
      </c>
      <c r="B231" s="12">
        <f>Dummy_Variables!B231</f>
        <v>45717</v>
      </c>
      <c r="C231" s="4" t="str">
        <f>Dummy_Variables!C231</f>
        <v>East</v>
      </c>
      <c r="D231" s="4" t="str">
        <f>Dummy_Variables!D231</f>
        <v>Mall</v>
      </c>
      <c r="E231" s="13">
        <f>Dummy_Variables!P231</f>
        <v>527681.56000000006</v>
      </c>
      <c r="F231" s="13">
        <f>Multiple_Regression!$B$44+Multiple_Regression!$B$45*Dummy_Variables!E231+Multiple_Regression!$B$46*Dummy_Variables!F231+Multiple_Regression!$B$47*Dummy_Variables!G231+Multiple_Regression!$B$48*Dummy_Variables!H231+Multiple_Regression!$B$49*Dummy_Variables!I231+Multiple_Regression!$B$50*Dummy_Variables!J231+Multiple_Regression!$B$51*Dummy_Variables!K231+Multiple_Regression!$B$52*Dummy_Variables!L231+Multiple_Regression!$B$53*Dummy_Variables!M231+Multiple_Regression!$B$54*Dummy_Variables!N231</f>
        <v>525508.44802597642</v>
      </c>
      <c r="G231" s="13">
        <f t="shared" si="6"/>
        <v>2173.1119740236318</v>
      </c>
      <c r="H231" s="13">
        <f t="shared" si="7"/>
        <v>2173.1119740236318</v>
      </c>
    </row>
    <row r="232" spans="1:8" x14ac:dyDescent="0.35">
      <c r="A232" s="4" t="str">
        <f>Dummy_Variables!A232</f>
        <v>STR-1057</v>
      </c>
      <c r="B232" s="12">
        <f>Dummy_Variables!B232</f>
        <v>45748</v>
      </c>
      <c r="C232" s="4" t="str">
        <f>Dummy_Variables!C232</f>
        <v>East</v>
      </c>
      <c r="D232" s="4" t="str">
        <f>Dummy_Variables!D232</f>
        <v>Mall</v>
      </c>
      <c r="E232" s="13">
        <f>Dummy_Variables!P232</f>
        <v>529598.93999999994</v>
      </c>
      <c r="F232" s="13">
        <f>Multiple_Regression!$B$44+Multiple_Regression!$B$45*Dummy_Variables!E232+Multiple_Regression!$B$46*Dummy_Variables!F232+Multiple_Regression!$B$47*Dummy_Variables!G232+Multiple_Regression!$B$48*Dummy_Variables!H232+Multiple_Regression!$B$49*Dummy_Variables!I232+Multiple_Regression!$B$50*Dummy_Variables!J232+Multiple_Regression!$B$51*Dummy_Variables!K232+Multiple_Regression!$B$52*Dummy_Variables!L232+Multiple_Regression!$B$53*Dummy_Variables!M232+Multiple_Regression!$B$54*Dummy_Variables!N232</f>
        <v>517074.04542770481</v>
      </c>
      <c r="G232" s="13">
        <f t="shared" si="6"/>
        <v>12524.894572295132</v>
      </c>
      <c r="H232" s="13">
        <f t="shared" si="7"/>
        <v>12524.894572295132</v>
      </c>
    </row>
    <row r="233" spans="1:8" x14ac:dyDescent="0.35">
      <c r="A233" s="4" t="str">
        <f>Dummy_Variables!A233</f>
        <v>STR-1058</v>
      </c>
      <c r="B233" s="12">
        <f>Dummy_Variables!B233</f>
        <v>45658</v>
      </c>
      <c r="C233" s="4" t="str">
        <f>Dummy_Variables!C233</f>
        <v>East</v>
      </c>
      <c r="D233" s="4" t="str">
        <f>Dummy_Variables!D233</f>
        <v>High Street</v>
      </c>
      <c r="E233" s="13">
        <f>Dummy_Variables!P233</f>
        <v>570963.31000000006</v>
      </c>
      <c r="F233" s="13">
        <f>Multiple_Regression!$B$44+Multiple_Regression!$B$45*Dummy_Variables!E233+Multiple_Regression!$B$46*Dummy_Variables!F233+Multiple_Regression!$B$47*Dummy_Variables!G233+Multiple_Regression!$B$48*Dummy_Variables!H233+Multiple_Regression!$B$49*Dummy_Variables!I233+Multiple_Regression!$B$50*Dummy_Variables!J233+Multiple_Regression!$B$51*Dummy_Variables!K233+Multiple_Regression!$B$52*Dummy_Variables!L233+Multiple_Regression!$B$53*Dummy_Variables!M233+Multiple_Regression!$B$54*Dummy_Variables!N233</f>
        <v>642791.27495075751</v>
      </c>
      <c r="G233" s="13">
        <f t="shared" si="6"/>
        <v>-71827.96495075745</v>
      </c>
      <c r="H233" s="13">
        <f t="shared" si="7"/>
        <v>71827.96495075745</v>
      </c>
    </row>
    <row r="234" spans="1:8" x14ac:dyDescent="0.35">
      <c r="A234" s="4" t="str">
        <f>Dummy_Variables!A234</f>
        <v>STR-1058</v>
      </c>
      <c r="B234" s="12">
        <f>Dummy_Variables!B234</f>
        <v>45689</v>
      </c>
      <c r="C234" s="4" t="str">
        <f>Dummy_Variables!C234</f>
        <v>East</v>
      </c>
      <c r="D234" s="4" t="str">
        <f>Dummy_Variables!D234</f>
        <v>High Street</v>
      </c>
      <c r="E234" s="13">
        <f>Dummy_Variables!P234</f>
        <v>870937.4</v>
      </c>
      <c r="F234" s="13">
        <f>Multiple_Regression!$B$44+Multiple_Regression!$B$45*Dummy_Variables!E234+Multiple_Regression!$B$46*Dummy_Variables!F234+Multiple_Regression!$B$47*Dummy_Variables!G234+Multiple_Regression!$B$48*Dummy_Variables!H234+Multiple_Regression!$B$49*Dummy_Variables!I234+Multiple_Regression!$B$50*Dummy_Variables!J234+Multiple_Regression!$B$51*Dummy_Variables!K234+Multiple_Regression!$B$52*Dummy_Variables!L234+Multiple_Regression!$B$53*Dummy_Variables!M234+Multiple_Regression!$B$54*Dummy_Variables!N234</f>
        <v>767423.74200411665</v>
      </c>
      <c r="G234" s="13">
        <f t="shared" si="6"/>
        <v>103513.65799588338</v>
      </c>
      <c r="H234" s="13">
        <f t="shared" si="7"/>
        <v>103513.65799588338</v>
      </c>
    </row>
    <row r="235" spans="1:8" x14ac:dyDescent="0.35">
      <c r="A235" s="4" t="str">
        <f>Dummy_Variables!A235</f>
        <v>STR-1058</v>
      </c>
      <c r="B235" s="12">
        <f>Dummy_Variables!B235</f>
        <v>45717</v>
      </c>
      <c r="C235" s="4" t="str">
        <f>Dummy_Variables!C235</f>
        <v>East</v>
      </c>
      <c r="D235" s="4" t="str">
        <f>Dummy_Variables!D235</f>
        <v>High Street</v>
      </c>
      <c r="E235" s="13">
        <f>Dummy_Variables!P235</f>
        <v>596969.27</v>
      </c>
      <c r="F235" s="13">
        <f>Multiple_Regression!$B$44+Multiple_Regression!$B$45*Dummy_Variables!E235+Multiple_Regression!$B$46*Dummy_Variables!F235+Multiple_Regression!$B$47*Dummy_Variables!G235+Multiple_Regression!$B$48*Dummy_Variables!H235+Multiple_Regression!$B$49*Dummy_Variables!I235+Multiple_Regression!$B$50*Dummy_Variables!J235+Multiple_Regression!$B$51*Dummy_Variables!K235+Multiple_Regression!$B$52*Dummy_Variables!L235+Multiple_Regression!$B$53*Dummy_Variables!M235+Multiple_Regression!$B$54*Dummy_Variables!N235</f>
        <v>642359.24214164389</v>
      </c>
      <c r="G235" s="13">
        <f t="shared" si="6"/>
        <v>-45389.97214164387</v>
      </c>
      <c r="H235" s="13">
        <f t="shared" si="7"/>
        <v>45389.97214164387</v>
      </c>
    </row>
    <row r="236" spans="1:8" x14ac:dyDescent="0.35">
      <c r="A236" s="4" t="str">
        <f>Dummy_Variables!A236</f>
        <v>STR-1058</v>
      </c>
      <c r="B236" s="12">
        <f>Dummy_Variables!B236</f>
        <v>45748</v>
      </c>
      <c r="C236" s="4" t="str">
        <f>Dummy_Variables!C236</f>
        <v>East</v>
      </c>
      <c r="D236" s="4" t="str">
        <f>Dummy_Variables!D236</f>
        <v>High Street</v>
      </c>
      <c r="E236" s="13">
        <f>Dummy_Variables!P236</f>
        <v>647512.85</v>
      </c>
      <c r="F236" s="13">
        <f>Multiple_Regression!$B$44+Multiple_Regression!$B$45*Dummy_Variables!E236+Multiple_Regression!$B$46*Dummy_Variables!F236+Multiple_Regression!$B$47*Dummy_Variables!G236+Multiple_Regression!$B$48*Dummy_Variables!H236+Multiple_Regression!$B$49*Dummy_Variables!I236+Multiple_Regression!$B$50*Dummy_Variables!J236+Multiple_Regression!$B$51*Dummy_Variables!K236+Multiple_Regression!$B$52*Dummy_Variables!L236+Multiple_Regression!$B$53*Dummy_Variables!M236+Multiple_Regression!$B$54*Dummy_Variables!N236</f>
        <v>635237.77306216746</v>
      </c>
      <c r="G236" s="13">
        <f t="shared" si="6"/>
        <v>12275.07693783252</v>
      </c>
      <c r="H236" s="13">
        <f t="shared" si="7"/>
        <v>12275.07693783252</v>
      </c>
    </row>
    <row r="237" spans="1:8" x14ac:dyDescent="0.35">
      <c r="A237" s="4" t="str">
        <f>Dummy_Variables!A237</f>
        <v>STR-1059</v>
      </c>
      <c r="B237" s="12">
        <f>Dummy_Variables!B237</f>
        <v>45658</v>
      </c>
      <c r="C237" s="4" t="str">
        <f>Dummy_Variables!C237</f>
        <v>West</v>
      </c>
      <c r="D237" s="4" t="str">
        <f>Dummy_Variables!D237</f>
        <v>Residential</v>
      </c>
      <c r="E237" s="13">
        <f>Dummy_Variables!P237</f>
        <v>658072.14</v>
      </c>
      <c r="F237" s="13">
        <f>Multiple_Regression!$B$44+Multiple_Regression!$B$45*Dummy_Variables!E237+Multiple_Regression!$B$46*Dummy_Variables!F237+Multiple_Regression!$B$47*Dummy_Variables!G237+Multiple_Regression!$B$48*Dummy_Variables!H237+Multiple_Regression!$B$49*Dummy_Variables!I237+Multiple_Regression!$B$50*Dummy_Variables!J237+Multiple_Regression!$B$51*Dummy_Variables!K237+Multiple_Regression!$B$52*Dummy_Variables!L237+Multiple_Regression!$B$53*Dummy_Variables!M237+Multiple_Regression!$B$54*Dummy_Variables!N237</f>
        <v>613319.1458086645</v>
      </c>
      <c r="G237" s="13">
        <f t="shared" si="6"/>
        <v>44752.994191335514</v>
      </c>
      <c r="H237" s="13">
        <f t="shared" si="7"/>
        <v>44752.994191335514</v>
      </c>
    </row>
    <row r="238" spans="1:8" x14ac:dyDescent="0.35">
      <c r="A238" s="4" t="str">
        <f>Dummy_Variables!A238</f>
        <v>STR-1059</v>
      </c>
      <c r="B238" s="12">
        <f>Dummy_Variables!B238</f>
        <v>45689</v>
      </c>
      <c r="C238" s="4" t="str">
        <f>Dummy_Variables!C238</f>
        <v>West</v>
      </c>
      <c r="D238" s="4" t="str">
        <f>Dummy_Variables!D238</f>
        <v>Residential</v>
      </c>
      <c r="E238" s="13">
        <f>Dummy_Variables!P238</f>
        <v>723305.11</v>
      </c>
      <c r="F238" s="13">
        <f>Multiple_Regression!$B$44+Multiple_Regression!$B$45*Dummy_Variables!E238+Multiple_Regression!$B$46*Dummy_Variables!F238+Multiple_Regression!$B$47*Dummy_Variables!G238+Multiple_Regression!$B$48*Dummy_Variables!H238+Multiple_Regression!$B$49*Dummy_Variables!I238+Multiple_Regression!$B$50*Dummy_Variables!J238+Multiple_Regression!$B$51*Dummy_Variables!K238+Multiple_Regression!$B$52*Dummy_Variables!L238+Multiple_Regression!$B$53*Dummy_Variables!M238+Multiple_Regression!$B$54*Dummy_Variables!N238</f>
        <v>636465.64791599079</v>
      </c>
      <c r="G238" s="13">
        <f t="shared" si="6"/>
        <v>86839.462084009196</v>
      </c>
      <c r="H238" s="13">
        <f t="shared" si="7"/>
        <v>86839.462084009196</v>
      </c>
    </row>
    <row r="239" spans="1:8" x14ac:dyDescent="0.35">
      <c r="A239" s="4" t="str">
        <f>Dummy_Variables!A239</f>
        <v>STR-1059</v>
      </c>
      <c r="B239" s="12">
        <f>Dummy_Variables!B239</f>
        <v>45717</v>
      </c>
      <c r="C239" s="4" t="str">
        <f>Dummy_Variables!C239</f>
        <v>West</v>
      </c>
      <c r="D239" s="4" t="str">
        <f>Dummy_Variables!D239</f>
        <v>Residential</v>
      </c>
      <c r="E239" s="13">
        <f>Dummy_Variables!P239</f>
        <v>640666.53</v>
      </c>
      <c r="F239" s="13">
        <f>Multiple_Regression!$B$44+Multiple_Regression!$B$45*Dummy_Variables!E239+Multiple_Regression!$B$46*Dummy_Variables!F239+Multiple_Regression!$B$47*Dummy_Variables!G239+Multiple_Regression!$B$48*Dummy_Variables!H239+Multiple_Regression!$B$49*Dummy_Variables!I239+Multiple_Regression!$B$50*Dummy_Variables!J239+Multiple_Regression!$B$51*Dummy_Variables!K239+Multiple_Regression!$B$52*Dummy_Variables!L239+Multiple_Regression!$B$53*Dummy_Variables!M239+Multiple_Regression!$B$54*Dummy_Variables!N239</f>
        <v>630322.04478778178</v>
      </c>
      <c r="G239" s="13">
        <f t="shared" si="6"/>
        <v>10344.485212218249</v>
      </c>
      <c r="H239" s="13">
        <f t="shared" si="7"/>
        <v>10344.485212218249</v>
      </c>
    </row>
    <row r="240" spans="1:8" x14ac:dyDescent="0.35">
      <c r="A240" s="4" t="str">
        <f>Dummy_Variables!A240</f>
        <v>STR-1059</v>
      </c>
      <c r="B240" s="12">
        <f>Dummy_Variables!B240</f>
        <v>45748</v>
      </c>
      <c r="C240" s="4" t="str">
        <f>Dummy_Variables!C240</f>
        <v>West</v>
      </c>
      <c r="D240" s="4" t="str">
        <f>Dummy_Variables!D240</f>
        <v>Residential</v>
      </c>
      <c r="E240" s="13">
        <f>Dummy_Variables!P240</f>
        <v>670629.48</v>
      </c>
      <c r="F240" s="13">
        <f>Multiple_Regression!$B$44+Multiple_Regression!$B$45*Dummy_Variables!E240+Multiple_Regression!$B$46*Dummy_Variables!F240+Multiple_Regression!$B$47*Dummy_Variables!G240+Multiple_Regression!$B$48*Dummy_Variables!H240+Multiple_Regression!$B$49*Dummy_Variables!I240+Multiple_Regression!$B$50*Dummy_Variables!J240+Multiple_Regression!$B$51*Dummy_Variables!K240+Multiple_Regression!$B$52*Dummy_Variables!L240+Multiple_Regression!$B$53*Dummy_Variables!M240+Multiple_Regression!$B$54*Dummy_Variables!N240</f>
        <v>656571.22606864851</v>
      </c>
      <c r="G240" s="13">
        <f t="shared" si="6"/>
        <v>14058.253931351472</v>
      </c>
      <c r="H240" s="13">
        <f t="shared" si="7"/>
        <v>14058.253931351472</v>
      </c>
    </row>
    <row r="241" spans="1:8" x14ac:dyDescent="0.35">
      <c r="A241" s="4" t="str">
        <f>Dummy_Variables!A241</f>
        <v>STR-1060</v>
      </c>
      <c r="B241" s="12">
        <f>Dummy_Variables!B241</f>
        <v>45658</v>
      </c>
      <c r="C241" s="4" t="str">
        <f>Dummy_Variables!C241</f>
        <v>West</v>
      </c>
      <c r="D241" s="4" t="str">
        <f>Dummy_Variables!D241</f>
        <v>Mall</v>
      </c>
      <c r="E241" s="13">
        <f>Dummy_Variables!P241</f>
        <v>721079.35</v>
      </c>
      <c r="F241" s="13">
        <f>Multiple_Regression!$B$44+Multiple_Regression!$B$45*Dummy_Variables!E241+Multiple_Regression!$B$46*Dummy_Variables!F241+Multiple_Regression!$B$47*Dummy_Variables!G241+Multiple_Regression!$B$48*Dummy_Variables!H241+Multiple_Regression!$B$49*Dummy_Variables!I241+Multiple_Regression!$B$50*Dummy_Variables!J241+Multiple_Regression!$B$51*Dummy_Variables!K241+Multiple_Regression!$B$52*Dummy_Variables!L241+Multiple_Regression!$B$53*Dummy_Variables!M241+Multiple_Regression!$B$54*Dummy_Variables!N241</f>
        <v>796484.40402940579</v>
      </c>
      <c r="G241" s="13">
        <f t="shared" si="6"/>
        <v>-75405.054029405816</v>
      </c>
      <c r="H241" s="13">
        <f t="shared" si="7"/>
        <v>75405.054029405816</v>
      </c>
    </row>
    <row r="242" spans="1:8" x14ac:dyDescent="0.35">
      <c r="A242" s="4" t="str">
        <f>Dummy_Variables!A242</f>
        <v>STR-1060</v>
      </c>
      <c r="B242" s="12">
        <f>Dummy_Variables!B242</f>
        <v>45689</v>
      </c>
      <c r="C242" s="4" t="str">
        <f>Dummy_Variables!C242</f>
        <v>West</v>
      </c>
      <c r="D242" s="4" t="str">
        <f>Dummy_Variables!D242</f>
        <v>Mall</v>
      </c>
      <c r="E242" s="13">
        <f>Dummy_Variables!P242</f>
        <v>810355.02</v>
      </c>
      <c r="F242" s="13">
        <f>Multiple_Regression!$B$44+Multiple_Regression!$B$45*Dummy_Variables!E242+Multiple_Regression!$B$46*Dummy_Variables!F242+Multiple_Regression!$B$47*Dummy_Variables!G242+Multiple_Regression!$B$48*Dummy_Variables!H242+Multiple_Regression!$B$49*Dummy_Variables!I242+Multiple_Regression!$B$50*Dummy_Variables!J242+Multiple_Regression!$B$51*Dummy_Variables!K242+Multiple_Regression!$B$52*Dummy_Variables!L242+Multiple_Regression!$B$53*Dummy_Variables!M242+Multiple_Regression!$B$54*Dummy_Variables!N242</f>
        <v>789755.10560118756</v>
      </c>
      <c r="G242" s="13">
        <f t="shared" si="6"/>
        <v>20599.914398812456</v>
      </c>
      <c r="H242" s="13">
        <f t="shared" si="7"/>
        <v>20599.914398812456</v>
      </c>
    </row>
    <row r="243" spans="1:8" x14ac:dyDescent="0.35">
      <c r="A243" s="4" t="str">
        <f>Dummy_Variables!A243</f>
        <v>STR-1060</v>
      </c>
      <c r="B243" s="12">
        <f>Dummy_Variables!B243</f>
        <v>45717</v>
      </c>
      <c r="C243" s="4" t="str">
        <f>Dummy_Variables!C243</f>
        <v>West</v>
      </c>
      <c r="D243" s="4" t="str">
        <f>Dummy_Variables!D243</f>
        <v>Mall</v>
      </c>
      <c r="E243" s="13">
        <f>Dummy_Variables!P243</f>
        <v>761919.25</v>
      </c>
      <c r="F243" s="13">
        <f>Multiple_Regression!$B$44+Multiple_Regression!$B$45*Dummy_Variables!E243+Multiple_Regression!$B$46*Dummy_Variables!F243+Multiple_Regression!$B$47*Dummy_Variables!G243+Multiple_Regression!$B$48*Dummy_Variables!H243+Multiple_Regression!$B$49*Dummy_Variables!I243+Multiple_Regression!$B$50*Dummy_Variables!J243+Multiple_Regression!$B$51*Dummy_Variables!K243+Multiple_Regression!$B$52*Dummy_Variables!L243+Multiple_Regression!$B$53*Dummy_Variables!M243+Multiple_Regression!$B$54*Dummy_Variables!N243</f>
        <v>756446.50224873587</v>
      </c>
      <c r="G243" s="13">
        <f t="shared" si="6"/>
        <v>5472.7477512641344</v>
      </c>
      <c r="H243" s="13">
        <f t="shared" si="7"/>
        <v>5472.7477512641344</v>
      </c>
    </row>
    <row r="244" spans="1:8" x14ac:dyDescent="0.35">
      <c r="A244" s="4" t="str">
        <f>Dummy_Variables!A244</f>
        <v>STR-1060</v>
      </c>
      <c r="B244" s="12">
        <f>Dummy_Variables!B244</f>
        <v>45748</v>
      </c>
      <c r="C244" s="4" t="str">
        <f>Dummy_Variables!C244</f>
        <v>West</v>
      </c>
      <c r="D244" s="4" t="str">
        <f>Dummy_Variables!D244</f>
        <v>Mall</v>
      </c>
      <c r="E244" s="13">
        <f>Dummy_Variables!P244</f>
        <v>737070.18</v>
      </c>
      <c r="F244" s="13">
        <f>Multiple_Regression!$B$44+Multiple_Regression!$B$45*Dummy_Variables!E244+Multiple_Regression!$B$46*Dummy_Variables!F244+Multiple_Regression!$B$47*Dummy_Variables!G244+Multiple_Regression!$B$48*Dummy_Variables!H244+Multiple_Regression!$B$49*Dummy_Variables!I244+Multiple_Regression!$B$50*Dummy_Variables!J244+Multiple_Regression!$B$51*Dummy_Variables!K244+Multiple_Regression!$B$52*Dummy_Variables!L244+Multiple_Regression!$B$53*Dummy_Variables!M244+Multiple_Regression!$B$54*Dummy_Variables!N244</f>
        <v>721706.99065524642</v>
      </c>
      <c r="G244" s="13">
        <f t="shared" si="6"/>
        <v>15363.189344753628</v>
      </c>
      <c r="H244" s="13">
        <f t="shared" si="7"/>
        <v>15363.189344753628</v>
      </c>
    </row>
    <row r="245" spans="1:8" x14ac:dyDescent="0.35">
      <c r="A245" s="4" t="str">
        <f>Dummy_Variables!A245</f>
        <v>STR-1061</v>
      </c>
      <c r="B245" s="12">
        <f>Dummy_Variables!B245</f>
        <v>45658</v>
      </c>
      <c r="C245" s="4" t="str">
        <f>Dummy_Variables!C245</f>
        <v>South</v>
      </c>
      <c r="D245" s="4" t="str">
        <f>Dummy_Variables!D245</f>
        <v>Airport</v>
      </c>
      <c r="E245" s="13">
        <f>Dummy_Variables!P245</f>
        <v>776992.93</v>
      </c>
      <c r="F245" s="13">
        <f>Multiple_Regression!$B$44+Multiple_Regression!$B$45*Dummy_Variables!E245+Multiple_Regression!$B$46*Dummy_Variables!F245+Multiple_Regression!$B$47*Dummy_Variables!G245+Multiple_Regression!$B$48*Dummy_Variables!H245+Multiple_Regression!$B$49*Dummy_Variables!I245+Multiple_Regression!$B$50*Dummy_Variables!J245+Multiple_Regression!$B$51*Dummy_Variables!K245+Multiple_Regression!$B$52*Dummy_Variables!L245+Multiple_Regression!$B$53*Dummy_Variables!M245+Multiple_Regression!$B$54*Dummy_Variables!N245</f>
        <v>733904.26472583041</v>
      </c>
      <c r="G245" s="13">
        <f t="shared" si="6"/>
        <v>43088.665274169645</v>
      </c>
      <c r="H245" s="13">
        <f t="shared" si="7"/>
        <v>43088.665274169645</v>
      </c>
    </row>
    <row r="246" spans="1:8" x14ac:dyDescent="0.35">
      <c r="A246" s="4" t="str">
        <f>Dummy_Variables!A246</f>
        <v>STR-1061</v>
      </c>
      <c r="B246" s="12">
        <f>Dummy_Variables!B246</f>
        <v>45689</v>
      </c>
      <c r="C246" s="4" t="str">
        <f>Dummy_Variables!C246</f>
        <v>South</v>
      </c>
      <c r="D246" s="4" t="str">
        <f>Dummy_Variables!D246</f>
        <v>Airport</v>
      </c>
      <c r="E246" s="13">
        <f>Dummy_Variables!P246</f>
        <v>676337.41</v>
      </c>
      <c r="F246" s="13">
        <f>Multiple_Regression!$B$44+Multiple_Regression!$B$45*Dummy_Variables!E246+Multiple_Regression!$B$46*Dummy_Variables!F246+Multiple_Regression!$B$47*Dummy_Variables!G246+Multiple_Regression!$B$48*Dummy_Variables!H246+Multiple_Regression!$B$49*Dummy_Variables!I246+Multiple_Regression!$B$50*Dummy_Variables!J246+Multiple_Regression!$B$51*Dummy_Variables!K246+Multiple_Regression!$B$52*Dummy_Variables!L246+Multiple_Regression!$B$53*Dummy_Variables!M246+Multiple_Regression!$B$54*Dummy_Variables!N246</f>
        <v>661032.58682384947</v>
      </c>
      <c r="G246" s="13">
        <f t="shared" si="6"/>
        <v>15304.823176150559</v>
      </c>
      <c r="H246" s="13">
        <f t="shared" si="7"/>
        <v>15304.823176150559</v>
      </c>
    </row>
    <row r="247" spans="1:8" x14ac:dyDescent="0.35">
      <c r="A247" s="4" t="str">
        <f>Dummy_Variables!A247</f>
        <v>STR-1061</v>
      </c>
      <c r="B247" s="12">
        <f>Dummy_Variables!B247</f>
        <v>45717</v>
      </c>
      <c r="C247" s="4" t="str">
        <f>Dummy_Variables!C247</f>
        <v>South</v>
      </c>
      <c r="D247" s="4" t="str">
        <f>Dummy_Variables!D247</f>
        <v>Airport</v>
      </c>
      <c r="E247" s="13">
        <f>Dummy_Variables!P247</f>
        <v>828219.67</v>
      </c>
      <c r="F247" s="13">
        <f>Multiple_Regression!$B$44+Multiple_Regression!$B$45*Dummy_Variables!E247+Multiple_Regression!$B$46*Dummy_Variables!F247+Multiple_Regression!$B$47*Dummy_Variables!G247+Multiple_Regression!$B$48*Dummy_Variables!H247+Multiple_Regression!$B$49*Dummy_Variables!I247+Multiple_Regression!$B$50*Dummy_Variables!J247+Multiple_Regression!$B$51*Dummy_Variables!K247+Multiple_Regression!$B$52*Dummy_Variables!L247+Multiple_Regression!$B$53*Dummy_Variables!M247+Multiple_Regression!$B$54*Dummy_Variables!N247</f>
        <v>829272.80260261323</v>
      </c>
      <c r="G247" s="13">
        <f t="shared" si="6"/>
        <v>-1053.1326026131865</v>
      </c>
      <c r="H247" s="13">
        <f t="shared" si="7"/>
        <v>1053.1326026131865</v>
      </c>
    </row>
    <row r="248" spans="1:8" x14ac:dyDescent="0.35">
      <c r="A248" s="4" t="str">
        <f>Dummy_Variables!A248</f>
        <v>STR-1061</v>
      </c>
      <c r="B248" s="12">
        <f>Dummy_Variables!B248</f>
        <v>45748</v>
      </c>
      <c r="C248" s="4" t="str">
        <f>Dummy_Variables!C248</f>
        <v>South</v>
      </c>
      <c r="D248" s="4" t="str">
        <f>Dummy_Variables!D248</f>
        <v>Airport</v>
      </c>
      <c r="E248" s="13">
        <f>Dummy_Variables!P248</f>
        <v>763159.92</v>
      </c>
      <c r="F248" s="13">
        <f>Multiple_Regression!$B$44+Multiple_Regression!$B$45*Dummy_Variables!E248+Multiple_Regression!$B$46*Dummy_Variables!F248+Multiple_Regression!$B$47*Dummy_Variables!G248+Multiple_Regression!$B$48*Dummy_Variables!H248+Multiple_Regression!$B$49*Dummy_Variables!I248+Multiple_Regression!$B$50*Dummy_Variables!J248+Multiple_Regression!$B$51*Dummy_Variables!K248+Multiple_Regression!$B$52*Dummy_Variables!L248+Multiple_Regression!$B$53*Dummy_Variables!M248+Multiple_Regression!$B$54*Dummy_Variables!N248</f>
        <v>770538.750685615</v>
      </c>
      <c r="G248" s="13">
        <f t="shared" si="6"/>
        <v>-7378.8306856149575</v>
      </c>
      <c r="H248" s="13">
        <f t="shared" si="7"/>
        <v>7378.8306856149575</v>
      </c>
    </row>
    <row r="249" spans="1:8" x14ac:dyDescent="0.35">
      <c r="A249" s="4" t="str">
        <f>Dummy_Variables!A249</f>
        <v>STR-1062</v>
      </c>
      <c r="B249" s="12">
        <f>Dummy_Variables!B249</f>
        <v>45658</v>
      </c>
      <c r="C249" s="4" t="str">
        <f>Dummy_Variables!C249</f>
        <v>East</v>
      </c>
      <c r="D249" s="4" t="str">
        <f>Dummy_Variables!D249</f>
        <v>High Street</v>
      </c>
      <c r="E249" s="13">
        <f>Dummy_Variables!P249</f>
        <v>802001.68</v>
      </c>
      <c r="F249" s="13">
        <f>Multiple_Regression!$B$44+Multiple_Regression!$B$45*Dummy_Variables!E249+Multiple_Regression!$B$46*Dummy_Variables!F249+Multiple_Regression!$B$47*Dummy_Variables!G249+Multiple_Regression!$B$48*Dummy_Variables!H249+Multiple_Regression!$B$49*Dummy_Variables!I249+Multiple_Regression!$B$50*Dummy_Variables!J249+Multiple_Regression!$B$51*Dummy_Variables!K249+Multiple_Regression!$B$52*Dummy_Variables!L249+Multiple_Regression!$B$53*Dummy_Variables!M249+Multiple_Regression!$B$54*Dummy_Variables!N249</f>
        <v>796393.32109488558</v>
      </c>
      <c r="G249" s="13">
        <f t="shared" si="6"/>
        <v>5608.3589051144663</v>
      </c>
      <c r="H249" s="13">
        <f t="shared" si="7"/>
        <v>5608.3589051144663</v>
      </c>
    </row>
    <row r="250" spans="1:8" x14ac:dyDescent="0.35">
      <c r="A250" s="4" t="str">
        <f>Dummy_Variables!A250</f>
        <v>STR-1062</v>
      </c>
      <c r="B250" s="12">
        <f>Dummy_Variables!B250</f>
        <v>45689</v>
      </c>
      <c r="C250" s="4" t="str">
        <f>Dummy_Variables!C250</f>
        <v>East</v>
      </c>
      <c r="D250" s="4" t="str">
        <f>Dummy_Variables!D250</f>
        <v>High Street</v>
      </c>
      <c r="E250" s="13">
        <f>Dummy_Variables!P250</f>
        <v>750471.34</v>
      </c>
      <c r="F250" s="13">
        <f>Multiple_Regression!$B$44+Multiple_Regression!$B$45*Dummy_Variables!E250+Multiple_Regression!$B$46*Dummy_Variables!F250+Multiple_Regression!$B$47*Dummy_Variables!G250+Multiple_Regression!$B$48*Dummy_Variables!H250+Multiple_Regression!$B$49*Dummy_Variables!I250+Multiple_Regression!$B$50*Dummy_Variables!J250+Multiple_Regression!$B$51*Dummy_Variables!K250+Multiple_Regression!$B$52*Dummy_Variables!L250+Multiple_Regression!$B$53*Dummy_Variables!M250+Multiple_Regression!$B$54*Dummy_Variables!N250</f>
        <v>758782.80929730821</v>
      </c>
      <c r="G250" s="13">
        <f t="shared" si="6"/>
        <v>-8311.4692973082419</v>
      </c>
      <c r="H250" s="13">
        <f t="shared" si="7"/>
        <v>8311.4692973082419</v>
      </c>
    </row>
    <row r="251" spans="1:8" x14ac:dyDescent="0.35">
      <c r="A251" s="4" t="str">
        <f>Dummy_Variables!A251</f>
        <v>STR-1062</v>
      </c>
      <c r="B251" s="12">
        <f>Dummy_Variables!B251</f>
        <v>45717</v>
      </c>
      <c r="C251" s="4" t="str">
        <f>Dummy_Variables!C251</f>
        <v>East</v>
      </c>
      <c r="D251" s="4" t="str">
        <f>Dummy_Variables!D251</f>
        <v>High Street</v>
      </c>
      <c r="E251" s="13">
        <f>Dummy_Variables!P251</f>
        <v>679230.86</v>
      </c>
      <c r="F251" s="13">
        <f>Multiple_Regression!$B$44+Multiple_Regression!$B$45*Dummy_Variables!E251+Multiple_Regression!$B$46*Dummy_Variables!F251+Multiple_Regression!$B$47*Dummy_Variables!G251+Multiple_Regression!$B$48*Dummy_Variables!H251+Multiple_Regression!$B$49*Dummy_Variables!I251+Multiple_Regression!$B$50*Dummy_Variables!J251+Multiple_Regression!$B$51*Dummy_Variables!K251+Multiple_Regression!$B$52*Dummy_Variables!L251+Multiple_Regression!$B$53*Dummy_Variables!M251+Multiple_Regression!$B$54*Dummy_Variables!N251</f>
        <v>717315.85464260192</v>
      </c>
      <c r="G251" s="13">
        <f t="shared" si="6"/>
        <v>-38084.994642601931</v>
      </c>
      <c r="H251" s="13">
        <f t="shared" si="7"/>
        <v>38084.994642601931</v>
      </c>
    </row>
    <row r="252" spans="1:8" x14ac:dyDescent="0.35">
      <c r="A252" s="4" t="str">
        <f>Dummy_Variables!A252</f>
        <v>STR-1062</v>
      </c>
      <c r="B252" s="12">
        <f>Dummy_Variables!B252</f>
        <v>45748</v>
      </c>
      <c r="C252" s="4" t="str">
        <f>Dummy_Variables!C252</f>
        <v>East</v>
      </c>
      <c r="D252" s="4" t="str">
        <f>Dummy_Variables!D252</f>
        <v>High Street</v>
      </c>
      <c r="E252" s="13">
        <f>Dummy_Variables!P252</f>
        <v>679888.74</v>
      </c>
      <c r="F252" s="13">
        <f>Multiple_Regression!$B$44+Multiple_Regression!$B$45*Dummy_Variables!E252+Multiple_Regression!$B$46*Dummy_Variables!F252+Multiple_Regression!$B$47*Dummy_Variables!G252+Multiple_Regression!$B$48*Dummy_Variables!H252+Multiple_Regression!$B$49*Dummy_Variables!I252+Multiple_Regression!$B$50*Dummy_Variables!J252+Multiple_Regression!$B$51*Dummy_Variables!K252+Multiple_Regression!$B$52*Dummy_Variables!L252+Multiple_Regression!$B$53*Dummy_Variables!M252+Multiple_Regression!$B$54*Dummy_Variables!N252</f>
        <v>691603.4575885823</v>
      </c>
      <c r="G252" s="13">
        <f t="shared" si="6"/>
        <v>-11714.717588582309</v>
      </c>
      <c r="H252" s="13">
        <f t="shared" si="7"/>
        <v>11714.717588582309</v>
      </c>
    </row>
    <row r="253" spans="1:8" x14ac:dyDescent="0.35">
      <c r="A253" s="4" t="str">
        <f>Dummy_Variables!A253</f>
        <v>STR-1063</v>
      </c>
      <c r="B253" s="12">
        <f>Dummy_Variables!B253</f>
        <v>45658</v>
      </c>
      <c r="C253" s="4" t="str">
        <f>Dummy_Variables!C253</f>
        <v>North</v>
      </c>
      <c r="D253" s="4" t="str">
        <f>Dummy_Variables!D253</f>
        <v>High Street</v>
      </c>
      <c r="E253" s="13">
        <f>Dummy_Variables!P253</f>
        <v>606783.67000000004</v>
      </c>
      <c r="F253" s="13">
        <f>Multiple_Regression!$B$44+Multiple_Regression!$B$45*Dummy_Variables!E253+Multiple_Regression!$B$46*Dummy_Variables!F253+Multiple_Regression!$B$47*Dummy_Variables!G253+Multiple_Regression!$B$48*Dummy_Variables!H253+Multiple_Regression!$B$49*Dummy_Variables!I253+Multiple_Regression!$B$50*Dummy_Variables!J253+Multiple_Regression!$B$51*Dummy_Variables!K253+Multiple_Regression!$B$52*Dummy_Variables!L253+Multiple_Regression!$B$53*Dummy_Variables!M253+Multiple_Regression!$B$54*Dummy_Variables!N253</f>
        <v>595854.7480913325</v>
      </c>
      <c r="G253" s="13">
        <f t="shared" si="6"/>
        <v>10928.921908667544</v>
      </c>
      <c r="H253" s="13">
        <f t="shared" si="7"/>
        <v>10928.921908667544</v>
      </c>
    </row>
    <row r="254" spans="1:8" x14ac:dyDescent="0.35">
      <c r="A254" s="4" t="str">
        <f>Dummy_Variables!A254</f>
        <v>STR-1063</v>
      </c>
      <c r="B254" s="12">
        <f>Dummy_Variables!B254</f>
        <v>45689</v>
      </c>
      <c r="C254" s="4" t="str">
        <f>Dummy_Variables!C254</f>
        <v>North</v>
      </c>
      <c r="D254" s="4" t="str">
        <f>Dummy_Variables!D254</f>
        <v>High Street</v>
      </c>
      <c r="E254" s="13">
        <f>Dummy_Variables!P254</f>
        <v>642751.42000000004</v>
      </c>
      <c r="F254" s="13">
        <f>Multiple_Regression!$B$44+Multiple_Regression!$B$45*Dummy_Variables!E254+Multiple_Regression!$B$46*Dummy_Variables!F254+Multiple_Regression!$B$47*Dummy_Variables!G254+Multiple_Regression!$B$48*Dummy_Variables!H254+Multiple_Regression!$B$49*Dummy_Variables!I254+Multiple_Regression!$B$50*Dummy_Variables!J254+Multiple_Regression!$B$51*Dummy_Variables!K254+Multiple_Regression!$B$52*Dummy_Variables!L254+Multiple_Regression!$B$53*Dummy_Variables!M254+Multiple_Regression!$B$54*Dummy_Variables!N254</f>
        <v>652151.81416256248</v>
      </c>
      <c r="G254" s="13">
        <f t="shared" si="6"/>
        <v>-9400.3941625624429</v>
      </c>
      <c r="H254" s="13">
        <f t="shared" si="7"/>
        <v>9400.3941625624429</v>
      </c>
    </row>
    <row r="255" spans="1:8" x14ac:dyDescent="0.35">
      <c r="A255" s="4" t="str">
        <f>Dummy_Variables!A255</f>
        <v>STR-1063</v>
      </c>
      <c r="B255" s="12">
        <f>Dummy_Variables!B255</f>
        <v>45717</v>
      </c>
      <c r="C255" s="4" t="str">
        <f>Dummy_Variables!C255</f>
        <v>North</v>
      </c>
      <c r="D255" s="4" t="str">
        <f>Dummy_Variables!D255</f>
        <v>High Street</v>
      </c>
      <c r="E255" s="13">
        <f>Dummy_Variables!P255</f>
        <v>647953.78</v>
      </c>
      <c r="F255" s="13">
        <f>Multiple_Regression!$B$44+Multiple_Regression!$B$45*Dummy_Variables!E255+Multiple_Regression!$B$46*Dummy_Variables!F255+Multiple_Regression!$B$47*Dummy_Variables!G255+Multiple_Regression!$B$48*Dummy_Variables!H255+Multiple_Regression!$B$49*Dummy_Variables!I255+Multiple_Regression!$B$50*Dummy_Variables!J255+Multiple_Regression!$B$51*Dummy_Variables!K255+Multiple_Regression!$B$52*Dummy_Variables!L255+Multiple_Regression!$B$53*Dummy_Variables!M255+Multiple_Regression!$B$54*Dummy_Variables!N255</f>
        <v>654289.4055832728</v>
      </c>
      <c r="G255" s="13">
        <f t="shared" si="6"/>
        <v>-6335.6255832727766</v>
      </c>
      <c r="H255" s="13">
        <f t="shared" si="7"/>
        <v>6335.6255832727766</v>
      </c>
    </row>
    <row r="256" spans="1:8" x14ac:dyDescent="0.35">
      <c r="A256" s="4" t="str">
        <f>Dummy_Variables!A256</f>
        <v>STR-1063</v>
      </c>
      <c r="B256" s="12">
        <f>Dummy_Variables!B256</f>
        <v>45748</v>
      </c>
      <c r="C256" s="4" t="str">
        <f>Dummy_Variables!C256</f>
        <v>North</v>
      </c>
      <c r="D256" s="4" t="str">
        <f>Dummy_Variables!D256</f>
        <v>High Street</v>
      </c>
      <c r="E256" s="13">
        <f>Dummy_Variables!P256</f>
        <v>729440.45</v>
      </c>
      <c r="F256" s="13">
        <f>Multiple_Regression!$B$44+Multiple_Regression!$B$45*Dummy_Variables!E256+Multiple_Regression!$B$46*Dummy_Variables!F256+Multiple_Regression!$B$47*Dummy_Variables!G256+Multiple_Regression!$B$48*Dummy_Variables!H256+Multiple_Regression!$B$49*Dummy_Variables!I256+Multiple_Regression!$B$50*Dummy_Variables!J256+Multiple_Regression!$B$51*Dummy_Variables!K256+Multiple_Regression!$B$52*Dummy_Variables!L256+Multiple_Regression!$B$53*Dummy_Variables!M256+Multiple_Regression!$B$54*Dummy_Variables!N256</f>
        <v>723383.18015225069</v>
      </c>
      <c r="G256" s="13">
        <f t="shared" si="6"/>
        <v>6057.2698477492668</v>
      </c>
      <c r="H256" s="13">
        <f t="shared" si="7"/>
        <v>6057.2698477492668</v>
      </c>
    </row>
    <row r="257" spans="1:8" x14ac:dyDescent="0.35">
      <c r="A257" s="4" t="str">
        <f>Dummy_Variables!A257</f>
        <v>STR-1064</v>
      </c>
      <c r="B257" s="12">
        <f>Dummy_Variables!B257</f>
        <v>45658</v>
      </c>
      <c r="C257" s="4" t="str">
        <f>Dummy_Variables!C257</f>
        <v>South</v>
      </c>
      <c r="D257" s="4" t="str">
        <f>Dummy_Variables!D257</f>
        <v>Airport</v>
      </c>
      <c r="E257" s="13">
        <f>Dummy_Variables!P257</f>
        <v>764949</v>
      </c>
      <c r="F257" s="13">
        <f>Multiple_Regression!$B$44+Multiple_Regression!$B$45*Dummy_Variables!E257+Multiple_Regression!$B$46*Dummy_Variables!F257+Multiple_Regression!$B$47*Dummy_Variables!G257+Multiple_Regression!$B$48*Dummy_Variables!H257+Multiple_Regression!$B$49*Dummy_Variables!I257+Multiple_Regression!$B$50*Dummy_Variables!J257+Multiple_Regression!$B$51*Dummy_Variables!K257+Multiple_Regression!$B$52*Dummy_Variables!L257+Multiple_Regression!$B$53*Dummy_Variables!M257+Multiple_Regression!$B$54*Dummy_Variables!N257</f>
        <v>761110.35869479238</v>
      </c>
      <c r="G257" s="13">
        <f t="shared" si="6"/>
        <v>3838.6413052076241</v>
      </c>
      <c r="H257" s="13">
        <f t="shared" si="7"/>
        <v>3838.6413052076241</v>
      </c>
    </row>
    <row r="258" spans="1:8" x14ac:dyDescent="0.35">
      <c r="A258" s="4" t="str">
        <f>Dummy_Variables!A258</f>
        <v>STR-1064</v>
      </c>
      <c r="B258" s="12">
        <f>Dummy_Variables!B258</f>
        <v>45689</v>
      </c>
      <c r="C258" s="4" t="str">
        <f>Dummy_Variables!C258</f>
        <v>South</v>
      </c>
      <c r="D258" s="4" t="str">
        <f>Dummy_Variables!D258</f>
        <v>Airport</v>
      </c>
      <c r="E258" s="13">
        <f>Dummy_Variables!P258</f>
        <v>799046.94</v>
      </c>
      <c r="F258" s="13">
        <f>Multiple_Regression!$B$44+Multiple_Regression!$B$45*Dummy_Variables!E258+Multiple_Regression!$B$46*Dummy_Variables!F258+Multiple_Regression!$B$47*Dummy_Variables!G258+Multiple_Regression!$B$48*Dummy_Variables!H258+Multiple_Regression!$B$49*Dummy_Variables!I258+Multiple_Regression!$B$50*Dummy_Variables!J258+Multiple_Regression!$B$51*Dummy_Variables!K258+Multiple_Regression!$B$52*Dummy_Variables!L258+Multiple_Regression!$B$53*Dummy_Variables!M258+Multiple_Regression!$B$54*Dummy_Variables!N258</f>
        <v>716874.84422349359</v>
      </c>
      <c r="G258" s="13">
        <f t="shared" si="6"/>
        <v>82172.09577650635</v>
      </c>
      <c r="H258" s="13">
        <f t="shared" si="7"/>
        <v>82172.09577650635</v>
      </c>
    </row>
    <row r="259" spans="1:8" x14ac:dyDescent="0.35">
      <c r="A259" s="4" t="str">
        <f>Dummy_Variables!A259</f>
        <v>STR-1064</v>
      </c>
      <c r="B259" s="12">
        <f>Dummy_Variables!B259</f>
        <v>45717</v>
      </c>
      <c r="C259" s="4" t="str">
        <f>Dummy_Variables!C259</f>
        <v>South</v>
      </c>
      <c r="D259" s="4" t="str">
        <f>Dummy_Variables!D259</f>
        <v>Airport</v>
      </c>
      <c r="E259" s="13">
        <f>Dummy_Variables!P259</f>
        <v>720079.54</v>
      </c>
      <c r="F259" s="13">
        <f>Multiple_Regression!$B$44+Multiple_Regression!$B$45*Dummy_Variables!E259+Multiple_Regression!$B$46*Dummy_Variables!F259+Multiple_Regression!$B$47*Dummy_Variables!G259+Multiple_Regression!$B$48*Dummy_Variables!H259+Multiple_Regression!$B$49*Dummy_Variables!I259+Multiple_Regression!$B$50*Dummy_Variables!J259+Multiple_Regression!$B$51*Dummy_Variables!K259+Multiple_Regression!$B$52*Dummy_Variables!L259+Multiple_Regression!$B$53*Dummy_Variables!M259+Multiple_Regression!$B$54*Dummy_Variables!N259</f>
        <v>705308.51049651974</v>
      </c>
      <c r="G259" s="13">
        <f t="shared" si="6"/>
        <v>14771.029503480298</v>
      </c>
      <c r="H259" s="13">
        <f t="shared" si="7"/>
        <v>14771.029503480298</v>
      </c>
    </row>
    <row r="260" spans="1:8" x14ac:dyDescent="0.35">
      <c r="A260" s="4" t="str">
        <f>Dummy_Variables!A260</f>
        <v>STR-1064</v>
      </c>
      <c r="B260" s="12">
        <f>Dummy_Variables!B260</f>
        <v>45748</v>
      </c>
      <c r="C260" s="4" t="str">
        <f>Dummy_Variables!C260</f>
        <v>South</v>
      </c>
      <c r="D260" s="4" t="str">
        <f>Dummy_Variables!D260</f>
        <v>Airport</v>
      </c>
      <c r="E260" s="13">
        <f>Dummy_Variables!P260</f>
        <v>612390.14</v>
      </c>
      <c r="F260" s="13">
        <f>Multiple_Regression!$B$44+Multiple_Regression!$B$45*Dummy_Variables!E260+Multiple_Regression!$B$46*Dummy_Variables!F260+Multiple_Regression!$B$47*Dummy_Variables!G260+Multiple_Regression!$B$48*Dummy_Variables!H260+Multiple_Regression!$B$49*Dummy_Variables!I260+Multiple_Regression!$B$50*Dummy_Variables!J260+Multiple_Regression!$B$51*Dummy_Variables!K260+Multiple_Regression!$B$52*Dummy_Variables!L260+Multiple_Regression!$B$53*Dummy_Variables!M260+Multiple_Regression!$B$54*Dummy_Variables!N260</f>
        <v>663343.67285694741</v>
      </c>
      <c r="G260" s="13">
        <f t="shared" si="6"/>
        <v>-50953.532856947393</v>
      </c>
      <c r="H260" s="13">
        <f t="shared" si="7"/>
        <v>50953.532856947393</v>
      </c>
    </row>
    <row r="261" spans="1:8" x14ac:dyDescent="0.35">
      <c r="A261" s="4" t="str">
        <f>Dummy_Variables!A261</f>
        <v>STR-1065</v>
      </c>
      <c r="B261" s="12">
        <f>Dummy_Variables!B261</f>
        <v>45658</v>
      </c>
      <c r="C261" s="4" t="str">
        <f>Dummy_Variables!C261</f>
        <v>South</v>
      </c>
      <c r="D261" s="4" t="str">
        <f>Dummy_Variables!D261</f>
        <v>Mall</v>
      </c>
      <c r="E261" s="13">
        <f>Dummy_Variables!P261</f>
        <v>840108.12</v>
      </c>
      <c r="F261" s="13">
        <f>Multiple_Regression!$B$44+Multiple_Regression!$B$45*Dummy_Variables!E261+Multiple_Regression!$B$46*Dummy_Variables!F261+Multiple_Regression!$B$47*Dummy_Variables!G261+Multiple_Regression!$B$48*Dummy_Variables!H261+Multiple_Regression!$B$49*Dummy_Variables!I261+Multiple_Regression!$B$50*Dummy_Variables!J261+Multiple_Regression!$B$51*Dummy_Variables!K261+Multiple_Regression!$B$52*Dummy_Variables!L261+Multiple_Regression!$B$53*Dummy_Variables!M261+Multiple_Regression!$B$54*Dummy_Variables!N261</f>
        <v>784887.94097065111</v>
      </c>
      <c r="G261" s="13">
        <f t="shared" ref="G261:G324" si="8">E261-F261</f>
        <v>55220.179029348888</v>
      </c>
      <c r="H261" s="13">
        <f t="shared" ref="H261:H324" si="9">ABS(G261)</f>
        <v>55220.179029348888</v>
      </c>
    </row>
    <row r="262" spans="1:8" x14ac:dyDescent="0.35">
      <c r="A262" s="4" t="str">
        <f>Dummy_Variables!A262</f>
        <v>STR-1065</v>
      </c>
      <c r="B262" s="12">
        <f>Dummy_Variables!B262</f>
        <v>45689</v>
      </c>
      <c r="C262" s="4" t="str">
        <f>Dummy_Variables!C262</f>
        <v>South</v>
      </c>
      <c r="D262" s="4" t="str">
        <f>Dummy_Variables!D262</f>
        <v>Mall</v>
      </c>
      <c r="E262" s="13">
        <f>Dummy_Variables!P262</f>
        <v>697888.09</v>
      </c>
      <c r="F262" s="13">
        <f>Multiple_Regression!$B$44+Multiple_Regression!$B$45*Dummy_Variables!E262+Multiple_Regression!$B$46*Dummy_Variables!F262+Multiple_Regression!$B$47*Dummy_Variables!G262+Multiple_Regression!$B$48*Dummy_Variables!H262+Multiple_Regression!$B$49*Dummy_Variables!I262+Multiple_Regression!$B$50*Dummy_Variables!J262+Multiple_Regression!$B$51*Dummy_Variables!K262+Multiple_Regression!$B$52*Dummy_Variables!L262+Multiple_Regression!$B$53*Dummy_Variables!M262+Multiple_Regression!$B$54*Dummy_Variables!N262</f>
        <v>688813.47276658809</v>
      </c>
      <c r="G262" s="13">
        <f t="shared" si="8"/>
        <v>9074.6172334118746</v>
      </c>
      <c r="H262" s="13">
        <f t="shared" si="9"/>
        <v>9074.6172334118746</v>
      </c>
    </row>
    <row r="263" spans="1:8" x14ac:dyDescent="0.35">
      <c r="A263" s="4" t="str">
        <f>Dummy_Variables!A263</f>
        <v>STR-1065</v>
      </c>
      <c r="B263" s="12">
        <f>Dummy_Variables!B263</f>
        <v>45717</v>
      </c>
      <c r="C263" s="4" t="str">
        <f>Dummy_Variables!C263</f>
        <v>South</v>
      </c>
      <c r="D263" s="4" t="str">
        <f>Dummy_Variables!D263</f>
        <v>Mall</v>
      </c>
      <c r="E263" s="13">
        <f>Dummy_Variables!P263</f>
        <v>746115.59</v>
      </c>
      <c r="F263" s="13">
        <f>Multiple_Regression!$B$44+Multiple_Regression!$B$45*Dummy_Variables!E263+Multiple_Regression!$B$46*Dummy_Variables!F263+Multiple_Regression!$B$47*Dummy_Variables!G263+Multiple_Regression!$B$48*Dummy_Variables!H263+Multiple_Regression!$B$49*Dummy_Variables!I263+Multiple_Regression!$B$50*Dummy_Variables!J263+Multiple_Regression!$B$51*Dummy_Variables!K263+Multiple_Regression!$B$52*Dummy_Variables!L263+Multiple_Regression!$B$53*Dummy_Variables!M263+Multiple_Regression!$B$54*Dummy_Variables!N263</f>
        <v>751113.20050198399</v>
      </c>
      <c r="G263" s="13">
        <f t="shared" si="8"/>
        <v>-4997.6105019840179</v>
      </c>
      <c r="H263" s="13">
        <f t="shared" si="9"/>
        <v>4997.6105019840179</v>
      </c>
    </row>
    <row r="264" spans="1:8" x14ac:dyDescent="0.35">
      <c r="A264" s="4" t="str">
        <f>Dummy_Variables!A264</f>
        <v>STR-1065</v>
      </c>
      <c r="B264" s="12">
        <f>Dummy_Variables!B264</f>
        <v>45748</v>
      </c>
      <c r="C264" s="4" t="str">
        <f>Dummy_Variables!C264</f>
        <v>South</v>
      </c>
      <c r="D264" s="4" t="str">
        <f>Dummy_Variables!D264</f>
        <v>Mall</v>
      </c>
      <c r="E264" s="13">
        <f>Dummy_Variables!P264</f>
        <v>776110.32</v>
      </c>
      <c r="F264" s="13">
        <f>Multiple_Regression!$B$44+Multiple_Regression!$B$45*Dummy_Variables!E264+Multiple_Regression!$B$46*Dummy_Variables!F264+Multiple_Regression!$B$47*Dummy_Variables!G264+Multiple_Regression!$B$48*Dummy_Variables!H264+Multiple_Regression!$B$49*Dummy_Variables!I264+Multiple_Regression!$B$50*Dummy_Variables!J264+Multiple_Regression!$B$51*Dummy_Variables!K264+Multiple_Regression!$B$52*Dummy_Variables!L264+Multiple_Regression!$B$53*Dummy_Variables!M264+Multiple_Regression!$B$54*Dummy_Variables!N264</f>
        <v>735174.11465590575</v>
      </c>
      <c r="G264" s="13">
        <f t="shared" si="8"/>
        <v>40936.205344094196</v>
      </c>
      <c r="H264" s="13">
        <f t="shared" si="9"/>
        <v>40936.205344094196</v>
      </c>
    </row>
    <row r="265" spans="1:8" x14ac:dyDescent="0.35">
      <c r="A265" s="4" t="str">
        <f>Dummy_Variables!A265</f>
        <v>STR-1066</v>
      </c>
      <c r="B265" s="12">
        <f>Dummy_Variables!B265</f>
        <v>45658</v>
      </c>
      <c r="C265" s="4" t="str">
        <f>Dummy_Variables!C265</f>
        <v>West</v>
      </c>
      <c r="D265" s="4" t="str">
        <f>Dummy_Variables!D265</f>
        <v>High Street</v>
      </c>
      <c r="E265" s="13">
        <f>Dummy_Variables!P265</f>
        <v>528852.62</v>
      </c>
      <c r="F265" s="13">
        <f>Multiple_Regression!$B$44+Multiple_Regression!$B$45*Dummy_Variables!E265+Multiple_Regression!$B$46*Dummy_Variables!F265+Multiple_Regression!$B$47*Dummy_Variables!G265+Multiple_Regression!$B$48*Dummy_Variables!H265+Multiple_Regression!$B$49*Dummy_Variables!I265+Multiple_Regression!$B$50*Dummy_Variables!J265+Multiple_Regression!$B$51*Dummy_Variables!K265+Multiple_Regression!$B$52*Dummy_Variables!L265+Multiple_Regression!$B$53*Dummy_Variables!M265+Multiple_Regression!$B$54*Dummy_Variables!N265</f>
        <v>513994.64099015103</v>
      </c>
      <c r="G265" s="13">
        <f t="shared" si="8"/>
        <v>14857.979009848961</v>
      </c>
      <c r="H265" s="13">
        <f t="shared" si="9"/>
        <v>14857.979009848961</v>
      </c>
    </row>
    <row r="266" spans="1:8" x14ac:dyDescent="0.35">
      <c r="A266" s="4" t="str">
        <f>Dummy_Variables!A266</f>
        <v>STR-1066</v>
      </c>
      <c r="B266" s="12">
        <f>Dummy_Variables!B266</f>
        <v>45689</v>
      </c>
      <c r="C266" s="4" t="str">
        <f>Dummy_Variables!C266</f>
        <v>West</v>
      </c>
      <c r="D266" s="4" t="str">
        <f>Dummy_Variables!D266</f>
        <v>High Street</v>
      </c>
      <c r="E266" s="13">
        <f>Dummy_Variables!P266</f>
        <v>605751.32999999996</v>
      </c>
      <c r="F266" s="13">
        <f>Multiple_Regression!$B$44+Multiple_Regression!$B$45*Dummy_Variables!E266+Multiple_Regression!$B$46*Dummy_Variables!F266+Multiple_Regression!$B$47*Dummy_Variables!G266+Multiple_Regression!$B$48*Dummy_Variables!H266+Multiple_Regression!$B$49*Dummy_Variables!I266+Multiple_Regression!$B$50*Dummy_Variables!J266+Multiple_Regression!$B$51*Dummy_Variables!K266+Multiple_Regression!$B$52*Dummy_Variables!L266+Multiple_Regression!$B$53*Dummy_Variables!M266+Multiple_Regression!$B$54*Dummy_Variables!N266</f>
        <v>605596.99251194589</v>
      </c>
      <c r="G266" s="13">
        <f t="shared" si="8"/>
        <v>154.33748805406503</v>
      </c>
      <c r="H266" s="13">
        <f t="shared" si="9"/>
        <v>154.33748805406503</v>
      </c>
    </row>
    <row r="267" spans="1:8" x14ac:dyDescent="0.35">
      <c r="A267" s="4" t="str">
        <f>Dummy_Variables!A267</f>
        <v>STR-1066</v>
      </c>
      <c r="B267" s="12">
        <f>Dummy_Variables!B267</f>
        <v>45717</v>
      </c>
      <c r="C267" s="4" t="str">
        <f>Dummy_Variables!C267</f>
        <v>West</v>
      </c>
      <c r="D267" s="4" t="str">
        <f>Dummy_Variables!D267</f>
        <v>High Street</v>
      </c>
      <c r="E267" s="13">
        <f>Dummy_Variables!P267</f>
        <v>677640.65</v>
      </c>
      <c r="F267" s="13">
        <f>Multiple_Regression!$B$44+Multiple_Regression!$B$45*Dummy_Variables!E267+Multiple_Regression!$B$46*Dummy_Variables!F267+Multiple_Regression!$B$47*Dummy_Variables!G267+Multiple_Regression!$B$48*Dummy_Variables!H267+Multiple_Regression!$B$49*Dummy_Variables!I267+Multiple_Regression!$B$50*Dummy_Variables!J267+Multiple_Regression!$B$51*Dummy_Variables!K267+Multiple_Regression!$B$52*Dummy_Variables!L267+Multiple_Regression!$B$53*Dummy_Variables!M267+Multiple_Regression!$B$54*Dummy_Variables!N267</f>
        <v>613865.04489463719</v>
      </c>
      <c r="G267" s="13">
        <f t="shared" si="8"/>
        <v>63775.605105362833</v>
      </c>
      <c r="H267" s="13">
        <f t="shared" si="9"/>
        <v>63775.605105362833</v>
      </c>
    </row>
    <row r="268" spans="1:8" x14ac:dyDescent="0.35">
      <c r="A268" s="4" t="str">
        <f>Dummy_Variables!A268</f>
        <v>STR-1066</v>
      </c>
      <c r="B268" s="12">
        <f>Dummy_Variables!B268</f>
        <v>45748</v>
      </c>
      <c r="C268" s="4" t="str">
        <f>Dummy_Variables!C268</f>
        <v>West</v>
      </c>
      <c r="D268" s="4" t="str">
        <f>Dummy_Variables!D268</f>
        <v>High Street</v>
      </c>
      <c r="E268" s="13">
        <f>Dummy_Variables!P268</f>
        <v>636613.23</v>
      </c>
      <c r="F268" s="13">
        <f>Multiple_Regression!$B$44+Multiple_Regression!$B$45*Dummy_Variables!E268+Multiple_Regression!$B$46*Dummy_Variables!F268+Multiple_Regression!$B$47*Dummy_Variables!G268+Multiple_Regression!$B$48*Dummy_Variables!H268+Multiple_Regression!$B$49*Dummy_Variables!I268+Multiple_Regression!$B$50*Dummy_Variables!J268+Multiple_Regression!$B$51*Dummy_Variables!K268+Multiple_Regression!$B$52*Dummy_Variables!L268+Multiple_Regression!$B$53*Dummy_Variables!M268+Multiple_Regression!$B$54*Dummy_Variables!N268</f>
        <v>584656.78278979217</v>
      </c>
      <c r="G268" s="13">
        <f t="shared" si="8"/>
        <v>51956.447210207814</v>
      </c>
      <c r="H268" s="13">
        <f t="shared" si="9"/>
        <v>51956.447210207814</v>
      </c>
    </row>
    <row r="269" spans="1:8" x14ac:dyDescent="0.35">
      <c r="A269" s="4" t="str">
        <f>Dummy_Variables!A269</f>
        <v>STR-1067</v>
      </c>
      <c r="B269" s="12">
        <f>Dummy_Variables!B269</f>
        <v>45658</v>
      </c>
      <c r="C269" s="4" t="str">
        <f>Dummy_Variables!C269</f>
        <v>East</v>
      </c>
      <c r="D269" s="4" t="str">
        <f>Dummy_Variables!D269</f>
        <v>High Street</v>
      </c>
      <c r="E269" s="13">
        <f>Dummy_Variables!P269</f>
        <v>708985.19</v>
      </c>
      <c r="F269" s="13">
        <f>Multiple_Regression!$B$44+Multiple_Regression!$B$45*Dummy_Variables!E269+Multiple_Regression!$B$46*Dummy_Variables!F269+Multiple_Regression!$B$47*Dummy_Variables!G269+Multiple_Regression!$B$48*Dummy_Variables!H269+Multiple_Regression!$B$49*Dummy_Variables!I269+Multiple_Regression!$B$50*Dummy_Variables!J269+Multiple_Regression!$B$51*Dummy_Variables!K269+Multiple_Regression!$B$52*Dummy_Variables!L269+Multiple_Regression!$B$53*Dummy_Variables!M269+Multiple_Regression!$B$54*Dummy_Variables!N269</f>
        <v>740266.70517003047</v>
      </c>
      <c r="G269" s="13">
        <f t="shared" si="8"/>
        <v>-31281.515170030529</v>
      </c>
      <c r="H269" s="13">
        <f t="shared" si="9"/>
        <v>31281.515170030529</v>
      </c>
    </row>
    <row r="270" spans="1:8" x14ac:dyDescent="0.35">
      <c r="A270" s="4" t="str">
        <f>Dummy_Variables!A270</f>
        <v>STR-1067</v>
      </c>
      <c r="B270" s="12">
        <f>Dummy_Variables!B270</f>
        <v>45689</v>
      </c>
      <c r="C270" s="4" t="str">
        <f>Dummy_Variables!C270</f>
        <v>East</v>
      </c>
      <c r="D270" s="4" t="str">
        <f>Dummy_Variables!D270</f>
        <v>High Street</v>
      </c>
      <c r="E270" s="13">
        <f>Dummy_Variables!P270</f>
        <v>767792.94</v>
      </c>
      <c r="F270" s="13">
        <f>Multiple_Regression!$B$44+Multiple_Regression!$B$45*Dummy_Variables!E270+Multiple_Regression!$B$46*Dummy_Variables!F270+Multiple_Regression!$B$47*Dummy_Variables!G270+Multiple_Regression!$B$48*Dummy_Variables!H270+Multiple_Regression!$B$49*Dummy_Variables!I270+Multiple_Regression!$B$50*Dummy_Variables!J270+Multiple_Regression!$B$51*Dummy_Variables!K270+Multiple_Regression!$B$52*Dummy_Variables!L270+Multiple_Regression!$B$53*Dummy_Variables!M270+Multiple_Regression!$B$54*Dummy_Variables!N270</f>
        <v>746694.07804115827</v>
      </c>
      <c r="G270" s="13">
        <f t="shared" si="8"/>
        <v>21098.861958841677</v>
      </c>
      <c r="H270" s="13">
        <f t="shared" si="9"/>
        <v>21098.861958841677</v>
      </c>
    </row>
    <row r="271" spans="1:8" x14ac:dyDescent="0.35">
      <c r="A271" s="4" t="str">
        <f>Dummy_Variables!A271</f>
        <v>STR-1067</v>
      </c>
      <c r="B271" s="12">
        <f>Dummy_Variables!B271</f>
        <v>45717</v>
      </c>
      <c r="C271" s="4" t="str">
        <f>Dummy_Variables!C271</f>
        <v>East</v>
      </c>
      <c r="D271" s="4" t="str">
        <f>Dummy_Variables!D271</f>
        <v>High Street</v>
      </c>
      <c r="E271" s="13">
        <f>Dummy_Variables!P271</f>
        <v>745580.51</v>
      </c>
      <c r="F271" s="13">
        <f>Multiple_Regression!$B$44+Multiple_Regression!$B$45*Dummy_Variables!E271+Multiple_Regression!$B$46*Dummy_Variables!F271+Multiple_Regression!$B$47*Dummy_Variables!G271+Multiple_Regression!$B$48*Dummy_Variables!H271+Multiple_Regression!$B$49*Dummy_Variables!I271+Multiple_Regression!$B$50*Dummy_Variables!J271+Multiple_Regression!$B$51*Dummy_Variables!K271+Multiple_Regression!$B$52*Dummy_Variables!L271+Multiple_Regression!$B$53*Dummy_Variables!M271+Multiple_Regression!$B$54*Dummy_Variables!N271</f>
        <v>728684.87548780325</v>
      </c>
      <c r="G271" s="13">
        <f t="shared" si="8"/>
        <v>16895.634512196761</v>
      </c>
      <c r="H271" s="13">
        <f t="shared" si="9"/>
        <v>16895.634512196761</v>
      </c>
    </row>
    <row r="272" spans="1:8" x14ac:dyDescent="0.35">
      <c r="A272" s="4" t="str">
        <f>Dummy_Variables!A272</f>
        <v>STR-1067</v>
      </c>
      <c r="B272" s="12">
        <f>Dummy_Variables!B272</f>
        <v>45748</v>
      </c>
      <c r="C272" s="4" t="str">
        <f>Dummy_Variables!C272</f>
        <v>East</v>
      </c>
      <c r="D272" s="4" t="str">
        <f>Dummy_Variables!D272</f>
        <v>High Street</v>
      </c>
      <c r="E272" s="13">
        <f>Dummy_Variables!P272</f>
        <v>762328.31</v>
      </c>
      <c r="F272" s="13">
        <f>Multiple_Regression!$B$44+Multiple_Regression!$B$45*Dummy_Variables!E272+Multiple_Regression!$B$46*Dummy_Variables!F272+Multiple_Regression!$B$47*Dummy_Variables!G272+Multiple_Regression!$B$48*Dummy_Variables!H272+Multiple_Regression!$B$49*Dummy_Variables!I272+Multiple_Regression!$B$50*Dummy_Variables!J272+Multiple_Regression!$B$51*Dummy_Variables!K272+Multiple_Regression!$B$52*Dummy_Variables!L272+Multiple_Regression!$B$53*Dummy_Variables!M272+Multiple_Regression!$B$54*Dummy_Variables!N272</f>
        <v>743253.70741417271</v>
      </c>
      <c r="G272" s="13">
        <f t="shared" si="8"/>
        <v>19074.60258582735</v>
      </c>
      <c r="H272" s="13">
        <f t="shared" si="9"/>
        <v>19074.60258582735</v>
      </c>
    </row>
    <row r="273" spans="1:8" x14ac:dyDescent="0.35">
      <c r="A273" s="4" t="str">
        <f>Dummy_Variables!A273</f>
        <v>STR-1068</v>
      </c>
      <c r="B273" s="12">
        <f>Dummy_Variables!B273</f>
        <v>45658</v>
      </c>
      <c r="C273" s="4" t="str">
        <f>Dummy_Variables!C273</f>
        <v>East</v>
      </c>
      <c r="D273" s="4" t="str">
        <f>Dummy_Variables!D273</f>
        <v>Mall</v>
      </c>
      <c r="E273" s="13">
        <f>Dummy_Variables!P273</f>
        <v>660633.99</v>
      </c>
      <c r="F273" s="13">
        <f>Multiple_Regression!$B$44+Multiple_Regression!$B$45*Dummy_Variables!E273+Multiple_Regression!$B$46*Dummy_Variables!F273+Multiple_Regression!$B$47*Dummy_Variables!G273+Multiple_Regression!$B$48*Dummy_Variables!H273+Multiple_Regression!$B$49*Dummy_Variables!I273+Multiple_Regression!$B$50*Dummy_Variables!J273+Multiple_Regression!$B$51*Dummy_Variables!K273+Multiple_Regression!$B$52*Dummy_Variables!L273+Multiple_Regression!$B$53*Dummy_Variables!M273+Multiple_Regression!$B$54*Dummy_Variables!N273</f>
        <v>761573.66170936625</v>
      </c>
      <c r="G273" s="13">
        <f t="shared" si="8"/>
        <v>-100939.67170936626</v>
      </c>
      <c r="H273" s="13">
        <f t="shared" si="9"/>
        <v>100939.67170936626</v>
      </c>
    </row>
    <row r="274" spans="1:8" x14ac:dyDescent="0.35">
      <c r="A274" s="4" t="str">
        <f>Dummy_Variables!A274</f>
        <v>STR-1068</v>
      </c>
      <c r="B274" s="12">
        <f>Dummy_Variables!B274</f>
        <v>45689</v>
      </c>
      <c r="C274" s="4" t="str">
        <f>Dummy_Variables!C274</f>
        <v>East</v>
      </c>
      <c r="D274" s="4" t="str">
        <f>Dummy_Variables!D274</f>
        <v>Mall</v>
      </c>
      <c r="E274" s="13">
        <f>Dummy_Variables!P274</f>
        <v>739374.56</v>
      </c>
      <c r="F274" s="13">
        <f>Multiple_Regression!$B$44+Multiple_Regression!$B$45*Dummy_Variables!E274+Multiple_Regression!$B$46*Dummy_Variables!F274+Multiple_Regression!$B$47*Dummy_Variables!G274+Multiple_Regression!$B$48*Dummy_Variables!H274+Multiple_Regression!$B$49*Dummy_Variables!I274+Multiple_Regression!$B$50*Dummy_Variables!J274+Multiple_Regression!$B$51*Dummy_Variables!K274+Multiple_Regression!$B$52*Dummy_Variables!L274+Multiple_Regression!$B$53*Dummy_Variables!M274+Multiple_Regression!$B$54*Dummy_Variables!N274</f>
        <v>710419.30951417761</v>
      </c>
      <c r="G274" s="13">
        <f t="shared" si="8"/>
        <v>28955.250485822442</v>
      </c>
      <c r="H274" s="13">
        <f t="shared" si="9"/>
        <v>28955.250485822442</v>
      </c>
    </row>
    <row r="275" spans="1:8" x14ac:dyDescent="0.35">
      <c r="A275" s="4" t="str">
        <f>Dummy_Variables!A275</f>
        <v>STR-1068</v>
      </c>
      <c r="B275" s="12">
        <f>Dummy_Variables!B275</f>
        <v>45717</v>
      </c>
      <c r="C275" s="4" t="str">
        <f>Dummy_Variables!C275</f>
        <v>East</v>
      </c>
      <c r="D275" s="4" t="str">
        <f>Dummy_Variables!D275</f>
        <v>Mall</v>
      </c>
      <c r="E275" s="13">
        <f>Dummy_Variables!P275</f>
        <v>799756.46</v>
      </c>
      <c r="F275" s="13">
        <f>Multiple_Regression!$B$44+Multiple_Regression!$B$45*Dummy_Variables!E275+Multiple_Regression!$B$46*Dummy_Variables!F275+Multiple_Regression!$B$47*Dummy_Variables!G275+Multiple_Regression!$B$48*Dummy_Variables!H275+Multiple_Regression!$B$49*Dummy_Variables!I275+Multiple_Regression!$B$50*Dummy_Variables!J275+Multiple_Regression!$B$51*Dummy_Variables!K275+Multiple_Regression!$B$52*Dummy_Variables!L275+Multiple_Regression!$B$53*Dummy_Variables!M275+Multiple_Regression!$B$54*Dummy_Variables!N275</f>
        <v>826956.2142114368</v>
      </c>
      <c r="G275" s="13">
        <f t="shared" si="8"/>
        <v>-27199.754211436841</v>
      </c>
      <c r="H275" s="13">
        <f t="shared" si="9"/>
        <v>27199.754211436841</v>
      </c>
    </row>
    <row r="276" spans="1:8" x14ac:dyDescent="0.35">
      <c r="A276" s="4" t="str">
        <f>Dummy_Variables!A276</f>
        <v>STR-1068</v>
      </c>
      <c r="B276" s="12">
        <f>Dummy_Variables!B276</f>
        <v>45748</v>
      </c>
      <c r="C276" s="4" t="str">
        <f>Dummy_Variables!C276</f>
        <v>East</v>
      </c>
      <c r="D276" s="4" t="str">
        <f>Dummy_Variables!D276</f>
        <v>Mall</v>
      </c>
      <c r="E276" s="13">
        <f>Dummy_Variables!P276</f>
        <v>593343</v>
      </c>
      <c r="F276" s="13">
        <f>Multiple_Regression!$B$44+Multiple_Regression!$B$45*Dummy_Variables!E276+Multiple_Regression!$B$46*Dummy_Variables!F276+Multiple_Regression!$B$47*Dummy_Variables!G276+Multiple_Regression!$B$48*Dummy_Variables!H276+Multiple_Regression!$B$49*Dummy_Variables!I276+Multiple_Regression!$B$50*Dummy_Variables!J276+Multiple_Regression!$B$51*Dummy_Variables!K276+Multiple_Regression!$B$52*Dummy_Variables!L276+Multiple_Regression!$B$53*Dummy_Variables!M276+Multiple_Regression!$B$54*Dummy_Variables!N276</f>
        <v>686898.3965703781</v>
      </c>
      <c r="G276" s="13">
        <f t="shared" si="8"/>
        <v>-93555.3965703781</v>
      </c>
      <c r="H276" s="13">
        <f t="shared" si="9"/>
        <v>93555.3965703781</v>
      </c>
    </row>
    <row r="277" spans="1:8" x14ac:dyDescent="0.35">
      <c r="A277" s="4" t="str">
        <f>Dummy_Variables!A277</f>
        <v>STR-1069</v>
      </c>
      <c r="B277" s="12">
        <f>Dummy_Variables!B277</f>
        <v>45658</v>
      </c>
      <c r="C277" s="4" t="str">
        <f>Dummy_Variables!C277</f>
        <v>West</v>
      </c>
      <c r="D277" s="4" t="str">
        <f>Dummy_Variables!D277</f>
        <v>High Street</v>
      </c>
      <c r="E277" s="13">
        <f>Dummy_Variables!P277</f>
        <v>645039.97</v>
      </c>
      <c r="F277" s="13">
        <f>Multiple_Regression!$B$44+Multiple_Regression!$B$45*Dummy_Variables!E277+Multiple_Regression!$B$46*Dummy_Variables!F277+Multiple_Regression!$B$47*Dummy_Variables!G277+Multiple_Regression!$B$48*Dummy_Variables!H277+Multiple_Regression!$B$49*Dummy_Variables!I277+Multiple_Regression!$B$50*Dummy_Variables!J277+Multiple_Regression!$B$51*Dummy_Variables!K277+Multiple_Regression!$B$52*Dummy_Variables!L277+Multiple_Regression!$B$53*Dummy_Variables!M277+Multiple_Regression!$B$54*Dummy_Variables!N277</f>
        <v>625881.0181976289</v>
      </c>
      <c r="G277" s="13">
        <f t="shared" si="8"/>
        <v>19158.95180237107</v>
      </c>
      <c r="H277" s="13">
        <f t="shared" si="9"/>
        <v>19158.95180237107</v>
      </c>
    </row>
    <row r="278" spans="1:8" x14ac:dyDescent="0.35">
      <c r="A278" s="4" t="str">
        <f>Dummy_Variables!A278</f>
        <v>STR-1069</v>
      </c>
      <c r="B278" s="12">
        <f>Dummy_Variables!B278</f>
        <v>45689</v>
      </c>
      <c r="C278" s="4" t="str">
        <f>Dummy_Variables!C278</f>
        <v>West</v>
      </c>
      <c r="D278" s="4" t="str">
        <f>Dummy_Variables!D278</f>
        <v>High Street</v>
      </c>
      <c r="E278" s="13">
        <f>Dummy_Variables!P278</f>
        <v>561597.32999999996</v>
      </c>
      <c r="F278" s="13">
        <f>Multiple_Regression!$B$44+Multiple_Regression!$B$45*Dummy_Variables!E278+Multiple_Regression!$B$46*Dummy_Variables!F278+Multiple_Regression!$B$47*Dummy_Variables!G278+Multiple_Regression!$B$48*Dummy_Variables!H278+Multiple_Regression!$B$49*Dummy_Variables!I278+Multiple_Regression!$B$50*Dummy_Variables!J278+Multiple_Regression!$B$51*Dummy_Variables!K278+Multiple_Regression!$B$52*Dummy_Variables!L278+Multiple_Regression!$B$53*Dummy_Variables!M278+Multiple_Regression!$B$54*Dummy_Variables!N278</f>
        <v>522610.85056635574</v>
      </c>
      <c r="G278" s="13">
        <f t="shared" si="8"/>
        <v>38986.479433644214</v>
      </c>
      <c r="H278" s="13">
        <f t="shared" si="9"/>
        <v>38986.479433644214</v>
      </c>
    </row>
    <row r="279" spans="1:8" x14ac:dyDescent="0.35">
      <c r="A279" s="4" t="str">
        <f>Dummy_Variables!A279</f>
        <v>STR-1069</v>
      </c>
      <c r="B279" s="12">
        <f>Dummy_Variables!B279</f>
        <v>45717</v>
      </c>
      <c r="C279" s="4" t="str">
        <f>Dummy_Variables!C279</f>
        <v>West</v>
      </c>
      <c r="D279" s="4" t="str">
        <f>Dummy_Variables!D279</f>
        <v>High Street</v>
      </c>
      <c r="E279" s="13">
        <f>Dummy_Variables!P279</f>
        <v>635837.74</v>
      </c>
      <c r="F279" s="13">
        <f>Multiple_Regression!$B$44+Multiple_Regression!$B$45*Dummy_Variables!E279+Multiple_Regression!$B$46*Dummy_Variables!F279+Multiple_Regression!$B$47*Dummy_Variables!G279+Multiple_Regression!$B$48*Dummy_Variables!H279+Multiple_Regression!$B$49*Dummy_Variables!I279+Multiple_Regression!$B$50*Dummy_Variables!J279+Multiple_Regression!$B$51*Dummy_Variables!K279+Multiple_Regression!$B$52*Dummy_Variables!L279+Multiple_Regression!$B$53*Dummy_Variables!M279+Multiple_Regression!$B$54*Dummy_Variables!N279</f>
        <v>644453.63588243339</v>
      </c>
      <c r="G279" s="13">
        <f t="shared" si="8"/>
        <v>-8615.8958824333968</v>
      </c>
      <c r="H279" s="13">
        <f t="shared" si="9"/>
        <v>8615.8958824333968</v>
      </c>
    </row>
    <row r="280" spans="1:8" x14ac:dyDescent="0.35">
      <c r="A280" s="4" t="str">
        <f>Dummy_Variables!A280</f>
        <v>STR-1069</v>
      </c>
      <c r="B280" s="12">
        <f>Dummy_Variables!B280</f>
        <v>45748</v>
      </c>
      <c r="C280" s="4" t="str">
        <f>Dummy_Variables!C280</f>
        <v>West</v>
      </c>
      <c r="D280" s="4" t="str">
        <f>Dummy_Variables!D280</f>
        <v>High Street</v>
      </c>
      <c r="E280" s="13">
        <f>Dummy_Variables!P280</f>
        <v>686737.87</v>
      </c>
      <c r="F280" s="13">
        <f>Multiple_Regression!$B$44+Multiple_Regression!$B$45*Dummy_Variables!E280+Multiple_Regression!$B$46*Dummy_Variables!F280+Multiple_Regression!$B$47*Dummy_Variables!G280+Multiple_Regression!$B$48*Dummy_Variables!H280+Multiple_Regression!$B$49*Dummy_Variables!I280+Multiple_Regression!$B$50*Dummy_Variables!J280+Multiple_Regression!$B$51*Dummy_Variables!K280+Multiple_Regression!$B$52*Dummy_Variables!L280+Multiple_Regression!$B$53*Dummy_Variables!M280+Multiple_Regression!$B$54*Dummy_Variables!N280</f>
        <v>589093.17307928659</v>
      </c>
      <c r="G280" s="13">
        <f t="shared" si="8"/>
        <v>97644.69692071341</v>
      </c>
      <c r="H280" s="13">
        <f t="shared" si="9"/>
        <v>97644.69692071341</v>
      </c>
    </row>
    <row r="281" spans="1:8" x14ac:dyDescent="0.35">
      <c r="A281" s="4" t="str">
        <f>Dummy_Variables!A281</f>
        <v>STR-1070</v>
      </c>
      <c r="B281" s="12">
        <f>Dummy_Variables!B281</f>
        <v>45658</v>
      </c>
      <c r="C281" s="4" t="str">
        <f>Dummy_Variables!C281</f>
        <v>South</v>
      </c>
      <c r="D281" s="4" t="str">
        <f>Dummy_Variables!D281</f>
        <v>Residential</v>
      </c>
      <c r="E281" s="13">
        <f>Dummy_Variables!P281</f>
        <v>673076.34</v>
      </c>
      <c r="F281" s="13">
        <f>Multiple_Regression!$B$44+Multiple_Regression!$B$45*Dummy_Variables!E281+Multiple_Regression!$B$46*Dummy_Variables!F281+Multiple_Regression!$B$47*Dummy_Variables!G281+Multiple_Regression!$B$48*Dummy_Variables!H281+Multiple_Regression!$B$49*Dummy_Variables!I281+Multiple_Regression!$B$50*Dummy_Variables!J281+Multiple_Regression!$B$51*Dummy_Variables!K281+Multiple_Regression!$B$52*Dummy_Variables!L281+Multiple_Regression!$B$53*Dummy_Variables!M281+Multiple_Regression!$B$54*Dummy_Variables!N281</f>
        <v>695376.76093294367</v>
      </c>
      <c r="G281" s="13">
        <f t="shared" si="8"/>
        <v>-22300.4209329437</v>
      </c>
      <c r="H281" s="13">
        <f t="shared" si="9"/>
        <v>22300.4209329437</v>
      </c>
    </row>
    <row r="282" spans="1:8" x14ac:dyDescent="0.35">
      <c r="A282" s="4" t="str">
        <f>Dummy_Variables!A282</f>
        <v>STR-1070</v>
      </c>
      <c r="B282" s="12">
        <f>Dummy_Variables!B282</f>
        <v>45689</v>
      </c>
      <c r="C282" s="4" t="str">
        <f>Dummy_Variables!C282</f>
        <v>South</v>
      </c>
      <c r="D282" s="4" t="str">
        <f>Dummy_Variables!D282</f>
        <v>Residential</v>
      </c>
      <c r="E282" s="13">
        <f>Dummy_Variables!P282</f>
        <v>738548.42</v>
      </c>
      <c r="F282" s="13">
        <f>Multiple_Regression!$B$44+Multiple_Regression!$B$45*Dummy_Variables!E282+Multiple_Regression!$B$46*Dummy_Variables!F282+Multiple_Regression!$B$47*Dummy_Variables!G282+Multiple_Regression!$B$48*Dummy_Variables!H282+Multiple_Regression!$B$49*Dummy_Variables!I282+Multiple_Regression!$B$50*Dummy_Variables!J282+Multiple_Regression!$B$51*Dummy_Variables!K282+Multiple_Regression!$B$52*Dummy_Variables!L282+Multiple_Regression!$B$53*Dummy_Variables!M282+Multiple_Regression!$B$54*Dummy_Variables!N282</f>
        <v>697634.72792052722</v>
      </c>
      <c r="G282" s="13">
        <f t="shared" si="8"/>
        <v>40913.692079472821</v>
      </c>
      <c r="H282" s="13">
        <f t="shared" si="9"/>
        <v>40913.692079472821</v>
      </c>
    </row>
    <row r="283" spans="1:8" x14ac:dyDescent="0.35">
      <c r="A283" s="4" t="str">
        <f>Dummy_Variables!A283</f>
        <v>STR-1070</v>
      </c>
      <c r="B283" s="12">
        <f>Dummy_Variables!B283</f>
        <v>45717</v>
      </c>
      <c r="C283" s="4" t="str">
        <f>Dummy_Variables!C283</f>
        <v>South</v>
      </c>
      <c r="D283" s="4" t="str">
        <f>Dummy_Variables!D283</f>
        <v>Residential</v>
      </c>
      <c r="E283" s="13">
        <f>Dummy_Variables!P283</f>
        <v>756619.77</v>
      </c>
      <c r="F283" s="13">
        <f>Multiple_Regression!$B$44+Multiple_Regression!$B$45*Dummy_Variables!E283+Multiple_Regression!$B$46*Dummy_Variables!F283+Multiple_Regression!$B$47*Dummy_Variables!G283+Multiple_Regression!$B$48*Dummy_Variables!H283+Multiple_Regression!$B$49*Dummy_Variables!I283+Multiple_Regression!$B$50*Dummy_Variables!J283+Multiple_Regression!$B$51*Dummy_Variables!K283+Multiple_Regression!$B$52*Dummy_Variables!L283+Multiple_Regression!$B$53*Dummy_Variables!M283+Multiple_Regression!$B$54*Dummy_Variables!N283</f>
        <v>742580.01389851351</v>
      </c>
      <c r="G283" s="13">
        <f t="shared" si="8"/>
        <v>14039.756101486506</v>
      </c>
      <c r="H283" s="13">
        <f t="shared" si="9"/>
        <v>14039.756101486506</v>
      </c>
    </row>
    <row r="284" spans="1:8" x14ac:dyDescent="0.35">
      <c r="A284" s="4" t="str">
        <f>Dummy_Variables!A284</f>
        <v>STR-1070</v>
      </c>
      <c r="B284" s="12">
        <f>Dummy_Variables!B284</f>
        <v>45748</v>
      </c>
      <c r="C284" s="4" t="str">
        <f>Dummy_Variables!C284</f>
        <v>South</v>
      </c>
      <c r="D284" s="4" t="str">
        <f>Dummy_Variables!D284</f>
        <v>Residential</v>
      </c>
      <c r="E284" s="13">
        <f>Dummy_Variables!P284</f>
        <v>761122.42</v>
      </c>
      <c r="F284" s="13">
        <f>Multiple_Regression!$B$44+Multiple_Regression!$B$45*Dummy_Variables!E284+Multiple_Regression!$B$46*Dummy_Variables!F284+Multiple_Regression!$B$47*Dummy_Variables!G284+Multiple_Regression!$B$48*Dummy_Variables!H284+Multiple_Regression!$B$49*Dummy_Variables!I284+Multiple_Regression!$B$50*Dummy_Variables!J284+Multiple_Regression!$B$51*Dummy_Variables!K284+Multiple_Regression!$B$52*Dummy_Variables!L284+Multiple_Regression!$B$53*Dummy_Variables!M284+Multiple_Regression!$B$54*Dummy_Variables!N284</f>
        <v>765141.99004218355</v>
      </c>
      <c r="G284" s="13">
        <f t="shared" si="8"/>
        <v>-4019.5700421835063</v>
      </c>
      <c r="H284" s="13">
        <f t="shared" si="9"/>
        <v>4019.5700421835063</v>
      </c>
    </row>
    <row r="285" spans="1:8" x14ac:dyDescent="0.35">
      <c r="A285" s="4" t="str">
        <f>Dummy_Variables!A285</f>
        <v>STR-1071</v>
      </c>
      <c r="B285" s="12">
        <f>Dummy_Variables!B285</f>
        <v>45658</v>
      </c>
      <c r="C285" s="4" t="str">
        <f>Dummy_Variables!C285</f>
        <v>South</v>
      </c>
      <c r="D285" s="4" t="str">
        <f>Dummy_Variables!D285</f>
        <v>High Street</v>
      </c>
      <c r="E285" s="13">
        <f>Dummy_Variables!P285</f>
        <v>524899.56999999995</v>
      </c>
      <c r="F285" s="13">
        <f>Multiple_Regression!$B$44+Multiple_Regression!$B$45*Dummy_Variables!E285+Multiple_Regression!$B$46*Dummy_Variables!F285+Multiple_Regression!$B$47*Dummy_Variables!G285+Multiple_Regression!$B$48*Dummy_Variables!H285+Multiple_Regression!$B$49*Dummy_Variables!I285+Multiple_Regression!$B$50*Dummy_Variables!J285+Multiple_Regression!$B$51*Dummy_Variables!K285+Multiple_Regression!$B$52*Dummy_Variables!L285+Multiple_Regression!$B$53*Dummy_Variables!M285+Multiple_Regression!$B$54*Dummy_Variables!N285</f>
        <v>588837.40563182137</v>
      </c>
      <c r="G285" s="13">
        <f t="shared" si="8"/>
        <v>-63937.835631821421</v>
      </c>
      <c r="H285" s="13">
        <f t="shared" si="9"/>
        <v>63937.835631821421</v>
      </c>
    </row>
    <row r="286" spans="1:8" x14ac:dyDescent="0.35">
      <c r="A286" s="4" t="str">
        <f>Dummy_Variables!A286</f>
        <v>STR-1071</v>
      </c>
      <c r="B286" s="12">
        <f>Dummy_Variables!B286</f>
        <v>45689</v>
      </c>
      <c r="C286" s="4" t="str">
        <f>Dummy_Variables!C286</f>
        <v>South</v>
      </c>
      <c r="D286" s="4" t="str">
        <f>Dummy_Variables!D286</f>
        <v>High Street</v>
      </c>
      <c r="E286" s="13">
        <f>Dummy_Variables!P286</f>
        <v>555557.77</v>
      </c>
      <c r="F286" s="13">
        <f>Multiple_Regression!$B$44+Multiple_Regression!$B$45*Dummy_Variables!E286+Multiple_Regression!$B$46*Dummy_Variables!F286+Multiple_Regression!$B$47*Dummy_Variables!G286+Multiple_Regression!$B$48*Dummy_Variables!H286+Multiple_Regression!$B$49*Dummy_Variables!I286+Multiple_Regression!$B$50*Dummy_Variables!J286+Multiple_Regression!$B$51*Dummy_Variables!K286+Multiple_Regression!$B$52*Dummy_Variables!L286+Multiple_Regression!$B$53*Dummy_Variables!M286+Multiple_Regression!$B$54*Dummy_Variables!N286</f>
        <v>587551.99583370343</v>
      </c>
      <c r="G286" s="13">
        <f t="shared" si="8"/>
        <v>-31994.225833703415</v>
      </c>
      <c r="H286" s="13">
        <f t="shared" si="9"/>
        <v>31994.225833703415</v>
      </c>
    </row>
    <row r="287" spans="1:8" x14ac:dyDescent="0.35">
      <c r="A287" s="4" t="str">
        <f>Dummy_Variables!A287</f>
        <v>STR-1071</v>
      </c>
      <c r="B287" s="12">
        <f>Dummy_Variables!B287</f>
        <v>45717</v>
      </c>
      <c r="C287" s="4" t="str">
        <f>Dummy_Variables!C287</f>
        <v>South</v>
      </c>
      <c r="D287" s="4" t="str">
        <f>Dummy_Variables!D287</f>
        <v>High Street</v>
      </c>
      <c r="E287" s="13">
        <f>Dummy_Variables!P287</f>
        <v>714083.68</v>
      </c>
      <c r="F287" s="13">
        <f>Multiple_Regression!$B$44+Multiple_Regression!$B$45*Dummy_Variables!E287+Multiple_Regression!$B$46*Dummy_Variables!F287+Multiple_Regression!$B$47*Dummy_Variables!G287+Multiple_Regression!$B$48*Dummy_Variables!H287+Multiple_Regression!$B$49*Dummy_Variables!I287+Multiple_Regression!$B$50*Dummy_Variables!J287+Multiple_Regression!$B$51*Dummy_Variables!K287+Multiple_Regression!$B$52*Dummy_Variables!L287+Multiple_Regression!$B$53*Dummy_Variables!M287+Multiple_Regression!$B$54*Dummy_Variables!N287</f>
        <v>695366.41997964284</v>
      </c>
      <c r="G287" s="13">
        <f t="shared" si="8"/>
        <v>18717.260020357207</v>
      </c>
      <c r="H287" s="13">
        <f t="shared" si="9"/>
        <v>18717.260020357207</v>
      </c>
    </row>
    <row r="288" spans="1:8" x14ac:dyDescent="0.35">
      <c r="A288" s="4" t="str">
        <f>Dummy_Variables!A288</f>
        <v>STR-1071</v>
      </c>
      <c r="B288" s="12">
        <f>Dummy_Variables!B288</f>
        <v>45748</v>
      </c>
      <c r="C288" s="4" t="str">
        <f>Dummy_Variables!C288</f>
        <v>South</v>
      </c>
      <c r="D288" s="4" t="str">
        <f>Dummy_Variables!D288</f>
        <v>High Street</v>
      </c>
      <c r="E288" s="13">
        <f>Dummy_Variables!P288</f>
        <v>497439.82</v>
      </c>
      <c r="F288" s="13">
        <f>Multiple_Regression!$B$44+Multiple_Regression!$B$45*Dummy_Variables!E288+Multiple_Regression!$B$46*Dummy_Variables!F288+Multiple_Regression!$B$47*Dummy_Variables!G288+Multiple_Regression!$B$48*Dummy_Variables!H288+Multiple_Regression!$B$49*Dummy_Variables!I288+Multiple_Regression!$B$50*Dummy_Variables!J288+Multiple_Regression!$B$51*Dummy_Variables!K288+Multiple_Regression!$B$52*Dummy_Variables!L288+Multiple_Regression!$B$53*Dummy_Variables!M288+Multiple_Regression!$B$54*Dummy_Variables!N288</f>
        <v>490194.92370293272</v>
      </c>
      <c r="G288" s="13">
        <f t="shared" si="8"/>
        <v>7244.8962970672874</v>
      </c>
      <c r="H288" s="13">
        <f t="shared" si="9"/>
        <v>7244.8962970672874</v>
      </c>
    </row>
    <row r="289" spans="1:8" x14ac:dyDescent="0.35">
      <c r="A289" s="4" t="str">
        <f>Dummy_Variables!A289</f>
        <v>STR-1072</v>
      </c>
      <c r="B289" s="12">
        <f>Dummy_Variables!B289</f>
        <v>45658</v>
      </c>
      <c r="C289" s="4" t="str">
        <f>Dummy_Variables!C289</f>
        <v>West</v>
      </c>
      <c r="D289" s="4" t="str">
        <f>Dummy_Variables!D289</f>
        <v>Residential</v>
      </c>
      <c r="E289" s="13">
        <f>Dummy_Variables!P289</f>
        <v>636775.66</v>
      </c>
      <c r="F289" s="13">
        <f>Multiple_Regression!$B$44+Multiple_Regression!$B$45*Dummy_Variables!E289+Multiple_Regression!$B$46*Dummy_Variables!F289+Multiple_Regression!$B$47*Dummy_Variables!G289+Multiple_Regression!$B$48*Dummy_Variables!H289+Multiple_Regression!$B$49*Dummy_Variables!I289+Multiple_Regression!$B$50*Dummy_Variables!J289+Multiple_Regression!$B$51*Dummy_Variables!K289+Multiple_Regression!$B$52*Dummy_Variables!L289+Multiple_Regression!$B$53*Dummy_Variables!M289+Multiple_Regression!$B$54*Dummy_Variables!N289</f>
        <v>664024.278199433</v>
      </c>
      <c r="G289" s="13">
        <f t="shared" si="8"/>
        <v>-27248.618199432967</v>
      </c>
      <c r="H289" s="13">
        <f t="shared" si="9"/>
        <v>27248.618199432967</v>
      </c>
    </row>
    <row r="290" spans="1:8" x14ac:dyDescent="0.35">
      <c r="A290" s="4" t="str">
        <f>Dummy_Variables!A290</f>
        <v>STR-1072</v>
      </c>
      <c r="B290" s="12">
        <f>Dummy_Variables!B290</f>
        <v>45689</v>
      </c>
      <c r="C290" s="4" t="str">
        <f>Dummy_Variables!C290</f>
        <v>West</v>
      </c>
      <c r="D290" s="4" t="str">
        <f>Dummy_Variables!D290</f>
        <v>Residential</v>
      </c>
      <c r="E290" s="13">
        <f>Dummy_Variables!P290</f>
        <v>633009.53</v>
      </c>
      <c r="F290" s="13">
        <f>Multiple_Regression!$B$44+Multiple_Regression!$B$45*Dummy_Variables!E290+Multiple_Regression!$B$46*Dummy_Variables!F290+Multiple_Regression!$B$47*Dummy_Variables!G290+Multiple_Regression!$B$48*Dummy_Variables!H290+Multiple_Regression!$B$49*Dummy_Variables!I290+Multiple_Regression!$B$50*Dummy_Variables!J290+Multiple_Regression!$B$51*Dummy_Variables!K290+Multiple_Regression!$B$52*Dummy_Variables!L290+Multiple_Regression!$B$53*Dummy_Variables!M290+Multiple_Regression!$B$54*Dummy_Variables!N290</f>
        <v>637918.51667853945</v>
      </c>
      <c r="G290" s="13">
        <f t="shared" si="8"/>
        <v>-4908.9866785394261</v>
      </c>
      <c r="H290" s="13">
        <f t="shared" si="9"/>
        <v>4908.9866785394261</v>
      </c>
    </row>
    <row r="291" spans="1:8" x14ac:dyDescent="0.35">
      <c r="A291" s="4" t="str">
        <f>Dummy_Variables!A291</f>
        <v>STR-1072</v>
      </c>
      <c r="B291" s="12">
        <f>Dummy_Variables!B291</f>
        <v>45717</v>
      </c>
      <c r="C291" s="4" t="str">
        <f>Dummy_Variables!C291</f>
        <v>West</v>
      </c>
      <c r="D291" s="4" t="str">
        <f>Dummy_Variables!D291</f>
        <v>Residential</v>
      </c>
      <c r="E291" s="13">
        <f>Dummy_Variables!P291</f>
        <v>609949</v>
      </c>
      <c r="F291" s="13">
        <f>Multiple_Regression!$B$44+Multiple_Regression!$B$45*Dummy_Variables!E291+Multiple_Regression!$B$46*Dummy_Variables!F291+Multiple_Regression!$B$47*Dummy_Variables!G291+Multiple_Regression!$B$48*Dummy_Variables!H291+Multiple_Regression!$B$49*Dummy_Variables!I291+Multiple_Regression!$B$50*Dummy_Variables!J291+Multiple_Regression!$B$51*Dummy_Variables!K291+Multiple_Regression!$B$52*Dummy_Variables!L291+Multiple_Regression!$B$53*Dummy_Variables!M291+Multiple_Regression!$B$54*Dummy_Variables!N291</f>
        <v>616062.52623456682</v>
      </c>
      <c r="G291" s="13">
        <f t="shared" si="8"/>
        <v>-6113.5262345668161</v>
      </c>
      <c r="H291" s="13">
        <f t="shared" si="9"/>
        <v>6113.5262345668161</v>
      </c>
    </row>
    <row r="292" spans="1:8" x14ac:dyDescent="0.35">
      <c r="A292" s="4" t="str">
        <f>Dummy_Variables!A292</f>
        <v>STR-1072</v>
      </c>
      <c r="B292" s="12">
        <f>Dummy_Variables!B292</f>
        <v>45748</v>
      </c>
      <c r="C292" s="4" t="str">
        <f>Dummy_Variables!C292</f>
        <v>West</v>
      </c>
      <c r="D292" s="4" t="str">
        <f>Dummy_Variables!D292</f>
        <v>Residential</v>
      </c>
      <c r="E292" s="13">
        <f>Dummy_Variables!P292</f>
        <v>548103.69999999995</v>
      </c>
      <c r="F292" s="13">
        <f>Multiple_Regression!$B$44+Multiple_Regression!$B$45*Dummy_Variables!E292+Multiple_Regression!$B$46*Dummy_Variables!F292+Multiple_Regression!$B$47*Dummy_Variables!G292+Multiple_Regression!$B$48*Dummy_Variables!H292+Multiple_Regression!$B$49*Dummy_Variables!I292+Multiple_Regression!$B$50*Dummy_Variables!J292+Multiple_Regression!$B$51*Dummy_Variables!K292+Multiple_Regression!$B$52*Dummy_Variables!L292+Multiple_Regression!$B$53*Dummy_Variables!M292+Multiple_Regression!$B$54*Dummy_Variables!N292</f>
        <v>558763.14643773879</v>
      </c>
      <c r="G292" s="13">
        <f t="shared" si="8"/>
        <v>-10659.446437738836</v>
      </c>
      <c r="H292" s="13">
        <f t="shared" si="9"/>
        <v>10659.446437738836</v>
      </c>
    </row>
    <row r="293" spans="1:8" x14ac:dyDescent="0.35">
      <c r="A293" s="4" t="str">
        <f>Dummy_Variables!A293</f>
        <v>STR-1073</v>
      </c>
      <c r="B293" s="12">
        <f>Dummy_Variables!B293</f>
        <v>45658</v>
      </c>
      <c r="C293" s="4" t="str">
        <f>Dummy_Variables!C293</f>
        <v>East</v>
      </c>
      <c r="D293" s="4" t="str">
        <f>Dummy_Variables!D293</f>
        <v>Residential</v>
      </c>
      <c r="E293" s="13">
        <f>Dummy_Variables!P293</f>
        <v>729424.42</v>
      </c>
      <c r="F293" s="13">
        <f>Multiple_Regression!$B$44+Multiple_Regression!$B$45*Dummy_Variables!E293+Multiple_Regression!$B$46*Dummy_Variables!F293+Multiple_Regression!$B$47*Dummy_Variables!G293+Multiple_Regression!$B$48*Dummy_Variables!H293+Multiple_Regression!$B$49*Dummy_Variables!I293+Multiple_Regression!$B$50*Dummy_Variables!J293+Multiple_Regression!$B$51*Dummy_Variables!K293+Multiple_Regression!$B$52*Dummy_Variables!L293+Multiple_Regression!$B$53*Dummy_Variables!M293+Multiple_Regression!$B$54*Dummy_Variables!N293</f>
        <v>686439.92701420456</v>
      </c>
      <c r="G293" s="13">
        <f t="shared" si="8"/>
        <v>42984.492985795485</v>
      </c>
      <c r="H293" s="13">
        <f t="shared" si="9"/>
        <v>42984.492985795485</v>
      </c>
    </row>
    <row r="294" spans="1:8" x14ac:dyDescent="0.35">
      <c r="A294" s="4" t="str">
        <f>Dummy_Variables!A294</f>
        <v>STR-1073</v>
      </c>
      <c r="B294" s="12">
        <f>Dummy_Variables!B294</f>
        <v>45689</v>
      </c>
      <c r="C294" s="4" t="str">
        <f>Dummy_Variables!C294</f>
        <v>East</v>
      </c>
      <c r="D294" s="4" t="str">
        <f>Dummy_Variables!D294</f>
        <v>Residential</v>
      </c>
      <c r="E294" s="13">
        <f>Dummy_Variables!P294</f>
        <v>696261.49</v>
      </c>
      <c r="F294" s="13">
        <f>Multiple_Regression!$B$44+Multiple_Regression!$B$45*Dummy_Variables!E294+Multiple_Regression!$B$46*Dummy_Variables!F294+Multiple_Regression!$B$47*Dummy_Variables!G294+Multiple_Regression!$B$48*Dummy_Variables!H294+Multiple_Regression!$B$49*Dummy_Variables!I294+Multiple_Regression!$B$50*Dummy_Variables!J294+Multiple_Regression!$B$51*Dummy_Variables!K294+Multiple_Regression!$B$52*Dummy_Variables!L294+Multiple_Regression!$B$53*Dummy_Variables!M294+Multiple_Regression!$B$54*Dummy_Variables!N294</f>
        <v>724433.39266969042</v>
      </c>
      <c r="G294" s="13">
        <f t="shared" si="8"/>
        <v>-28171.902669690433</v>
      </c>
      <c r="H294" s="13">
        <f t="shared" si="9"/>
        <v>28171.902669690433</v>
      </c>
    </row>
    <row r="295" spans="1:8" x14ac:dyDescent="0.35">
      <c r="A295" s="4" t="str">
        <f>Dummy_Variables!A295</f>
        <v>STR-1073</v>
      </c>
      <c r="B295" s="12">
        <f>Dummy_Variables!B295</f>
        <v>45717</v>
      </c>
      <c r="C295" s="4" t="str">
        <f>Dummy_Variables!C295</f>
        <v>East</v>
      </c>
      <c r="D295" s="4" t="str">
        <f>Dummy_Variables!D295</f>
        <v>Residential</v>
      </c>
      <c r="E295" s="13">
        <f>Dummy_Variables!P295</f>
        <v>813316.71</v>
      </c>
      <c r="F295" s="13">
        <f>Multiple_Regression!$B$44+Multiple_Regression!$B$45*Dummy_Variables!E295+Multiple_Regression!$B$46*Dummy_Variables!F295+Multiple_Regression!$B$47*Dummy_Variables!G295+Multiple_Regression!$B$48*Dummy_Variables!H295+Multiple_Regression!$B$49*Dummy_Variables!I295+Multiple_Regression!$B$50*Dummy_Variables!J295+Multiple_Regression!$B$51*Dummy_Variables!K295+Multiple_Regression!$B$52*Dummy_Variables!L295+Multiple_Regression!$B$53*Dummy_Variables!M295+Multiple_Regression!$B$54*Dummy_Variables!N295</f>
        <v>728364.98056940536</v>
      </c>
      <c r="G295" s="13">
        <f t="shared" si="8"/>
        <v>84951.729430594598</v>
      </c>
      <c r="H295" s="13">
        <f t="shared" si="9"/>
        <v>84951.729430594598</v>
      </c>
    </row>
    <row r="296" spans="1:8" x14ac:dyDescent="0.35">
      <c r="A296" s="4" t="str">
        <f>Dummy_Variables!A296</f>
        <v>STR-1073</v>
      </c>
      <c r="B296" s="12">
        <f>Dummy_Variables!B296</f>
        <v>45748</v>
      </c>
      <c r="C296" s="4" t="str">
        <f>Dummy_Variables!C296</f>
        <v>East</v>
      </c>
      <c r="D296" s="4" t="str">
        <f>Dummy_Variables!D296</f>
        <v>Residential</v>
      </c>
      <c r="E296" s="13">
        <f>Dummy_Variables!P296</f>
        <v>702068.92</v>
      </c>
      <c r="F296" s="13">
        <f>Multiple_Regression!$B$44+Multiple_Regression!$B$45*Dummy_Variables!E296+Multiple_Regression!$B$46*Dummy_Variables!F296+Multiple_Regression!$B$47*Dummy_Variables!G296+Multiple_Regression!$B$48*Dummy_Variables!H296+Multiple_Regression!$B$49*Dummy_Variables!I296+Multiple_Regression!$B$50*Dummy_Variables!J296+Multiple_Regression!$B$51*Dummy_Variables!K296+Multiple_Regression!$B$52*Dummy_Variables!L296+Multiple_Regression!$B$53*Dummy_Variables!M296+Multiple_Regression!$B$54*Dummy_Variables!N296</f>
        <v>708920.12163378391</v>
      </c>
      <c r="G296" s="13">
        <f t="shared" si="8"/>
        <v>-6851.2016337838722</v>
      </c>
      <c r="H296" s="13">
        <f t="shared" si="9"/>
        <v>6851.2016337838722</v>
      </c>
    </row>
    <row r="297" spans="1:8" x14ac:dyDescent="0.35">
      <c r="A297" s="4" t="str">
        <f>Dummy_Variables!A297</f>
        <v>STR-1074</v>
      </c>
      <c r="B297" s="12">
        <f>Dummy_Variables!B297</f>
        <v>45658</v>
      </c>
      <c r="C297" s="4" t="str">
        <f>Dummy_Variables!C297</f>
        <v>West</v>
      </c>
      <c r="D297" s="4" t="str">
        <f>Dummy_Variables!D297</f>
        <v>High Street</v>
      </c>
      <c r="E297" s="13">
        <f>Dummy_Variables!P297</f>
        <v>546223.69999999995</v>
      </c>
      <c r="F297" s="13">
        <f>Multiple_Regression!$B$44+Multiple_Regression!$B$45*Dummy_Variables!E297+Multiple_Regression!$B$46*Dummy_Variables!F297+Multiple_Regression!$B$47*Dummy_Variables!G297+Multiple_Regression!$B$48*Dummy_Variables!H297+Multiple_Regression!$B$49*Dummy_Variables!I297+Multiple_Regression!$B$50*Dummy_Variables!J297+Multiple_Regression!$B$51*Dummy_Variables!K297+Multiple_Regression!$B$52*Dummy_Variables!L297+Multiple_Regression!$B$53*Dummy_Variables!M297+Multiple_Regression!$B$54*Dummy_Variables!N297</f>
        <v>581933.73065060144</v>
      </c>
      <c r="G297" s="13">
        <f t="shared" si="8"/>
        <v>-35710.030650601489</v>
      </c>
      <c r="H297" s="13">
        <f t="shared" si="9"/>
        <v>35710.030650601489</v>
      </c>
    </row>
    <row r="298" spans="1:8" x14ac:dyDescent="0.35">
      <c r="A298" s="4" t="str">
        <f>Dummy_Variables!A298</f>
        <v>STR-1074</v>
      </c>
      <c r="B298" s="12">
        <f>Dummy_Variables!B298</f>
        <v>45689</v>
      </c>
      <c r="C298" s="4" t="str">
        <f>Dummy_Variables!C298</f>
        <v>West</v>
      </c>
      <c r="D298" s="4" t="str">
        <f>Dummy_Variables!D298</f>
        <v>High Street</v>
      </c>
      <c r="E298" s="13">
        <f>Dummy_Variables!P298</f>
        <v>533121.26</v>
      </c>
      <c r="F298" s="13">
        <f>Multiple_Regression!$B$44+Multiple_Regression!$B$45*Dummy_Variables!E298+Multiple_Regression!$B$46*Dummy_Variables!F298+Multiple_Regression!$B$47*Dummy_Variables!G298+Multiple_Regression!$B$48*Dummy_Variables!H298+Multiple_Regression!$B$49*Dummy_Variables!I298+Multiple_Regression!$B$50*Dummy_Variables!J298+Multiple_Regression!$B$51*Dummy_Variables!K298+Multiple_Regression!$B$52*Dummy_Variables!L298+Multiple_Regression!$B$53*Dummy_Variables!M298+Multiple_Regression!$B$54*Dummy_Variables!N298</f>
        <v>532937.53055011923</v>
      </c>
      <c r="G298" s="13">
        <f t="shared" si="8"/>
        <v>183.72944988077506</v>
      </c>
      <c r="H298" s="13">
        <f t="shared" si="9"/>
        <v>183.72944988077506</v>
      </c>
    </row>
    <row r="299" spans="1:8" x14ac:dyDescent="0.35">
      <c r="A299" s="4" t="str">
        <f>Dummy_Variables!A299</f>
        <v>STR-1074</v>
      </c>
      <c r="B299" s="12">
        <f>Dummy_Variables!B299</f>
        <v>45717</v>
      </c>
      <c r="C299" s="4" t="str">
        <f>Dummy_Variables!C299</f>
        <v>West</v>
      </c>
      <c r="D299" s="4" t="str">
        <f>Dummy_Variables!D299</f>
        <v>High Street</v>
      </c>
      <c r="E299" s="13">
        <f>Dummy_Variables!P299</f>
        <v>498970.32</v>
      </c>
      <c r="F299" s="13">
        <f>Multiple_Regression!$B$44+Multiple_Regression!$B$45*Dummy_Variables!E299+Multiple_Regression!$B$46*Dummy_Variables!F299+Multiple_Regression!$B$47*Dummy_Variables!G299+Multiple_Regression!$B$48*Dummy_Variables!H299+Multiple_Regression!$B$49*Dummy_Variables!I299+Multiple_Regression!$B$50*Dummy_Variables!J299+Multiple_Regression!$B$51*Dummy_Variables!K299+Multiple_Regression!$B$52*Dummy_Variables!L299+Multiple_Regression!$B$53*Dummy_Variables!M299+Multiple_Regression!$B$54*Dummy_Variables!N299</f>
        <v>485534.65629778005</v>
      </c>
      <c r="G299" s="13">
        <f t="shared" si="8"/>
        <v>13435.663702219957</v>
      </c>
      <c r="H299" s="13">
        <f t="shared" si="9"/>
        <v>13435.663702219957</v>
      </c>
    </row>
    <row r="300" spans="1:8" x14ac:dyDescent="0.35">
      <c r="A300" s="4" t="str">
        <f>Dummy_Variables!A300</f>
        <v>STR-1074</v>
      </c>
      <c r="B300" s="12">
        <f>Dummy_Variables!B300</f>
        <v>45748</v>
      </c>
      <c r="C300" s="4" t="str">
        <f>Dummy_Variables!C300</f>
        <v>West</v>
      </c>
      <c r="D300" s="4" t="str">
        <f>Dummy_Variables!D300</f>
        <v>High Street</v>
      </c>
      <c r="E300" s="13">
        <f>Dummy_Variables!P300</f>
        <v>487738.26</v>
      </c>
      <c r="F300" s="13">
        <f>Multiple_Regression!$B$44+Multiple_Regression!$B$45*Dummy_Variables!E300+Multiple_Regression!$B$46*Dummy_Variables!F300+Multiple_Regression!$B$47*Dummy_Variables!G300+Multiple_Regression!$B$48*Dummy_Variables!H300+Multiple_Regression!$B$49*Dummy_Variables!I300+Multiple_Regression!$B$50*Dummy_Variables!J300+Multiple_Regression!$B$51*Dummy_Variables!K300+Multiple_Regression!$B$52*Dummy_Variables!L300+Multiple_Regression!$B$53*Dummy_Variables!M300+Multiple_Regression!$B$54*Dummy_Variables!N300</f>
        <v>477074.50585438474</v>
      </c>
      <c r="G300" s="13">
        <f t="shared" si="8"/>
        <v>10663.754145615268</v>
      </c>
      <c r="H300" s="13">
        <f t="shared" si="9"/>
        <v>10663.754145615268</v>
      </c>
    </row>
    <row r="301" spans="1:8" x14ac:dyDescent="0.35">
      <c r="A301" s="4" t="str">
        <f>Dummy_Variables!A301</f>
        <v>STR-1075</v>
      </c>
      <c r="B301" s="12">
        <f>Dummy_Variables!B301</f>
        <v>45658</v>
      </c>
      <c r="C301" s="4" t="str">
        <f>Dummy_Variables!C301</f>
        <v>West</v>
      </c>
      <c r="D301" s="4" t="str">
        <f>Dummy_Variables!D301</f>
        <v>High Street</v>
      </c>
      <c r="E301" s="13">
        <f>Dummy_Variables!P301</f>
        <v>668459.37</v>
      </c>
      <c r="F301" s="13">
        <f>Multiple_Regression!$B$44+Multiple_Regression!$B$45*Dummy_Variables!E301+Multiple_Regression!$B$46*Dummy_Variables!F301+Multiple_Regression!$B$47*Dummy_Variables!G301+Multiple_Regression!$B$48*Dummy_Variables!H301+Multiple_Regression!$B$49*Dummy_Variables!I301+Multiple_Regression!$B$50*Dummy_Variables!J301+Multiple_Regression!$B$51*Dummy_Variables!K301+Multiple_Regression!$B$52*Dummy_Variables!L301+Multiple_Regression!$B$53*Dummy_Variables!M301+Multiple_Regression!$B$54*Dummy_Variables!N301</f>
        <v>663473.61528628902</v>
      </c>
      <c r="G301" s="13">
        <f t="shared" si="8"/>
        <v>4985.7547137109796</v>
      </c>
      <c r="H301" s="13">
        <f t="shared" si="9"/>
        <v>4985.7547137109796</v>
      </c>
    </row>
    <row r="302" spans="1:8" x14ac:dyDescent="0.35">
      <c r="A302" s="4" t="str">
        <f>Dummy_Variables!A302</f>
        <v>STR-1075</v>
      </c>
      <c r="B302" s="12">
        <f>Dummy_Variables!B302</f>
        <v>45689</v>
      </c>
      <c r="C302" s="4" t="str">
        <f>Dummy_Variables!C302</f>
        <v>West</v>
      </c>
      <c r="D302" s="4" t="str">
        <f>Dummy_Variables!D302</f>
        <v>High Street</v>
      </c>
      <c r="E302" s="13">
        <f>Dummy_Variables!P302</f>
        <v>763162.45</v>
      </c>
      <c r="F302" s="13">
        <f>Multiple_Regression!$B$44+Multiple_Regression!$B$45*Dummy_Variables!E302+Multiple_Regression!$B$46*Dummy_Variables!F302+Multiple_Regression!$B$47*Dummy_Variables!G302+Multiple_Regression!$B$48*Dummy_Variables!H302+Multiple_Regression!$B$49*Dummy_Variables!I302+Multiple_Regression!$B$50*Dummy_Variables!J302+Multiple_Regression!$B$51*Dummy_Variables!K302+Multiple_Regression!$B$52*Dummy_Variables!L302+Multiple_Regression!$B$53*Dummy_Variables!M302+Multiple_Regression!$B$54*Dummy_Variables!N302</f>
        <v>684029.43280343828</v>
      </c>
      <c r="G302" s="13">
        <f t="shared" si="8"/>
        <v>79133.017196561676</v>
      </c>
      <c r="H302" s="13">
        <f t="shared" si="9"/>
        <v>79133.017196561676</v>
      </c>
    </row>
    <row r="303" spans="1:8" x14ac:dyDescent="0.35">
      <c r="A303" s="4" t="str">
        <f>Dummy_Variables!A303</f>
        <v>STR-1075</v>
      </c>
      <c r="B303" s="12">
        <f>Dummy_Variables!B303</f>
        <v>45717</v>
      </c>
      <c r="C303" s="4" t="str">
        <f>Dummy_Variables!C303</f>
        <v>West</v>
      </c>
      <c r="D303" s="4" t="str">
        <f>Dummy_Variables!D303</f>
        <v>High Street</v>
      </c>
      <c r="E303" s="13">
        <f>Dummy_Variables!P303</f>
        <v>599017.32999999996</v>
      </c>
      <c r="F303" s="13">
        <f>Multiple_Regression!$B$44+Multiple_Regression!$B$45*Dummy_Variables!E303+Multiple_Regression!$B$46*Dummy_Variables!F303+Multiple_Regression!$B$47*Dummy_Variables!G303+Multiple_Regression!$B$48*Dummy_Variables!H303+Multiple_Regression!$B$49*Dummy_Variables!I303+Multiple_Regression!$B$50*Dummy_Variables!J303+Multiple_Regression!$B$51*Dummy_Variables!K303+Multiple_Regression!$B$52*Dummy_Variables!L303+Multiple_Regression!$B$53*Dummy_Variables!M303+Multiple_Regression!$B$54*Dummy_Variables!N303</f>
        <v>614889.42907902703</v>
      </c>
      <c r="G303" s="13">
        <f t="shared" si="8"/>
        <v>-15872.099079027073</v>
      </c>
      <c r="H303" s="13">
        <f t="shared" si="9"/>
        <v>15872.099079027073</v>
      </c>
    </row>
    <row r="304" spans="1:8" x14ac:dyDescent="0.35">
      <c r="A304" s="4" t="str">
        <f>Dummy_Variables!A304</f>
        <v>STR-1075</v>
      </c>
      <c r="B304" s="12">
        <f>Dummy_Variables!B304</f>
        <v>45748</v>
      </c>
      <c r="C304" s="4" t="str">
        <f>Dummy_Variables!C304</f>
        <v>West</v>
      </c>
      <c r="D304" s="4" t="str">
        <f>Dummy_Variables!D304</f>
        <v>High Street</v>
      </c>
      <c r="E304" s="13">
        <f>Dummy_Variables!P304</f>
        <v>401582.58</v>
      </c>
      <c r="F304" s="13">
        <f>Multiple_Regression!$B$44+Multiple_Regression!$B$45*Dummy_Variables!E304+Multiple_Regression!$B$46*Dummy_Variables!F304+Multiple_Regression!$B$47*Dummy_Variables!G304+Multiple_Regression!$B$48*Dummy_Variables!H304+Multiple_Regression!$B$49*Dummy_Variables!I304+Multiple_Regression!$B$50*Dummy_Variables!J304+Multiple_Regression!$B$51*Dummy_Variables!K304+Multiple_Regression!$B$52*Dummy_Variables!L304+Multiple_Regression!$B$53*Dummy_Variables!M304+Multiple_Regression!$B$54*Dummy_Variables!N304</f>
        <v>432677.50431958388</v>
      </c>
      <c r="G304" s="13">
        <f t="shared" si="8"/>
        <v>-31094.924319583864</v>
      </c>
      <c r="H304" s="13">
        <f t="shared" si="9"/>
        <v>31094.924319583864</v>
      </c>
    </row>
    <row r="305" spans="1:8" x14ac:dyDescent="0.35">
      <c r="A305" s="4" t="str">
        <f>Dummy_Variables!A305</f>
        <v>STR-1076</v>
      </c>
      <c r="B305" s="12">
        <f>Dummy_Variables!B305</f>
        <v>45658</v>
      </c>
      <c r="C305" s="4" t="str">
        <f>Dummy_Variables!C305</f>
        <v>North</v>
      </c>
      <c r="D305" s="4" t="str">
        <f>Dummy_Variables!D305</f>
        <v>Mall</v>
      </c>
      <c r="E305" s="13">
        <f>Dummy_Variables!P305</f>
        <v>703812.99</v>
      </c>
      <c r="F305" s="13">
        <f>Multiple_Regression!$B$44+Multiple_Regression!$B$45*Dummy_Variables!E305+Multiple_Regression!$B$46*Dummy_Variables!F305+Multiple_Regression!$B$47*Dummy_Variables!G305+Multiple_Regression!$B$48*Dummy_Variables!H305+Multiple_Regression!$B$49*Dummy_Variables!I305+Multiple_Regression!$B$50*Dummy_Variables!J305+Multiple_Regression!$B$51*Dummy_Variables!K305+Multiple_Regression!$B$52*Dummy_Variables!L305+Multiple_Regression!$B$53*Dummy_Variables!M305+Multiple_Regression!$B$54*Dummy_Variables!N305</f>
        <v>740444.26283567585</v>
      </c>
      <c r="G305" s="13">
        <f t="shared" si="8"/>
        <v>-36631.27283567586</v>
      </c>
      <c r="H305" s="13">
        <f t="shared" si="9"/>
        <v>36631.27283567586</v>
      </c>
    </row>
    <row r="306" spans="1:8" x14ac:dyDescent="0.35">
      <c r="A306" s="4" t="str">
        <f>Dummy_Variables!A306</f>
        <v>STR-1076</v>
      </c>
      <c r="B306" s="12">
        <f>Dummy_Variables!B306</f>
        <v>45689</v>
      </c>
      <c r="C306" s="4" t="str">
        <f>Dummy_Variables!C306</f>
        <v>North</v>
      </c>
      <c r="D306" s="4" t="str">
        <f>Dummy_Variables!D306</f>
        <v>Mall</v>
      </c>
      <c r="E306" s="13">
        <f>Dummy_Variables!P306</f>
        <v>724346.73</v>
      </c>
      <c r="F306" s="13">
        <f>Multiple_Regression!$B$44+Multiple_Regression!$B$45*Dummy_Variables!E306+Multiple_Regression!$B$46*Dummy_Variables!F306+Multiple_Regression!$B$47*Dummy_Variables!G306+Multiple_Regression!$B$48*Dummy_Variables!H306+Multiple_Regression!$B$49*Dummy_Variables!I306+Multiple_Regression!$B$50*Dummy_Variables!J306+Multiple_Regression!$B$51*Dummy_Variables!K306+Multiple_Regression!$B$52*Dummy_Variables!L306+Multiple_Regression!$B$53*Dummy_Variables!M306+Multiple_Regression!$B$54*Dummy_Variables!N306</f>
        <v>735681.16098375968</v>
      </c>
      <c r="G306" s="13">
        <f t="shared" si="8"/>
        <v>-11334.430983759696</v>
      </c>
      <c r="H306" s="13">
        <f t="shared" si="9"/>
        <v>11334.430983759696</v>
      </c>
    </row>
    <row r="307" spans="1:8" x14ac:dyDescent="0.35">
      <c r="A307" s="4" t="str">
        <f>Dummy_Variables!A307</f>
        <v>STR-1076</v>
      </c>
      <c r="B307" s="12">
        <f>Dummy_Variables!B307</f>
        <v>45717</v>
      </c>
      <c r="C307" s="4" t="str">
        <f>Dummy_Variables!C307</f>
        <v>North</v>
      </c>
      <c r="D307" s="4" t="str">
        <f>Dummy_Variables!D307</f>
        <v>Mall</v>
      </c>
      <c r="E307" s="13">
        <f>Dummy_Variables!P307</f>
        <v>730890.01</v>
      </c>
      <c r="F307" s="13">
        <f>Multiple_Regression!$B$44+Multiple_Regression!$B$45*Dummy_Variables!E307+Multiple_Regression!$B$46*Dummy_Variables!F307+Multiple_Regression!$B$47*Dummy_Variables!G307+Multiple_Regression!$B$48*Dummy_Variables!H307+Multiple_Regression!$B$49*Dummy_Variables!I307+Multiple_Regression!$B$50*Dummy_Variables!J307+Multiple_Regression!$B$51*Dummy_Variables!K307+Multiple_Regression!$B$52*Dummy_Variables!L307+Multiple_Regression!$B$53*Dummy_Variables!M307+Multiple_Regression!$B$54*Dummy_Variables!N307</f>
        <v>762514.71029280277</v>
      </c>
      <c r="G307" s="13">
        <f t="shared" si="8"/>
        <v>-31624.700292802765</v>
      </c>
      <c r="H307" s="13">
        <f t="shared" si="9"/>
        <v>31624.700292802765</v>
      </c>
    </row>
    <row r="308" spans="1:8" x14ac:dyDescent="0.35">
      <c r="A308" s="4" t="str">
        <f>Dummy_Variables!A308</f>
        <v>STR-1076</v>
      </c>
      <c r="B308" s="12">
        <f>Dummy_Variables!B308</f>
        <v>45748</v>
      </c>
      <c r="C308" s="4" t="str">
        <f>Dummy_Variables!C308</f>
        <v>North</v>
      </c>
      <c r="D308" s="4" t="str">
        <f>Dummy_Variables!D308</f>
        <v>Mall</v>
      </c>
      <c r="E308" s="13">
        <f>Dummy_Variables!P308</f>
        <v>780580.95</v>
      </c>
      <c r="F308" s="13">
        <f>Multiple_Regression!$B$44+Multiple_Regression!$B$45*Dummy_Variables!E308+Multiple_Regression!$B$46*Dummy_Variables!F308+Multiple_Regression!$B$47*Dummy_Variables!G308+Multiple_Regression!$B$48*Dummy_Variables!H308+Multiple_Regression!$B$49*Dummy_Variables!I308+Multiple_Regression!$B$50*Dummy_Variables!J308+Multiple_Regression!$B$51*Dummy_Variables!K308+Multiple_Regression!$B$52*Dummy_Variables!L308+Multiple_Regression!$B$53*Dummy_Variables!M308+Multiple_Regression!$B$54*Dummy_Variables!N308</f>
        <v>735752.5579160155</v>
      </c>
      <c r="G308" s="13">
        <f t="shared" si="8"/>
        <v>44828.39208398445</v>
      </c>
      <c r="H308" s="13">
        <f t="shared" si="9"/>
        <v>44828.39208398445</v>
      </c>
    </row>
    <row r="309" spans="1:8" x14ac:dyDescent="0.35">
      <c r="A309" s="4" t="str">
        <f>Dummy_Variables!A309</f>
        <v>STR-1077</v>
      </c>
      <c r="B309" s="12">
        <f>Dummy_Variables!B309</f>
        <v>45658</v>
      </c>
      <c r="C309" s="4" t="str">
        <f>Dummy_Variables!C309</f>
        <v>South</v>
      </c>
      <c r="D309" s="4" t="str">
        <f>Dummy_Variables!D309</f>
        <v>Residential</v>
      </c>
      <c r="E309" s="13">
        <f>Dummy_Variables!P309</f>
        <v>727957.48</v>
      </c>
      <c r="F309" s="13">
        <f>Multiple_Regression!$B$44+Multiple_Regression!$B$45*Dummy_Variables!E309+Multiple_Regression!$B$46*Dummy_Variables!F309+Multiple_Regression!$B$47*Dummy_Variables!G309+Multiple_Regression!$B$48*Dummy_Variables!H309+Multiple_Regression!$B$49*Dummy_Variables!I309+Multiple_Regression!$B$50*Dummy_Variables!J309+Multiple_Regression!$B$51*Dummy_Variables!K309+Multiple_Regression!$B$52*Dummy_Variables!L309+Multiple_Regression!$B$53*Dummy_Variables!M309+Multiple_Regression!$B$54*Dummy_Variables!N309</f>
        <v>684196.28927340789</v>
      </c>
      <c r="G309" s="13">
        <f t="shared" si="8"/>
        <v>43761.190726592089</v>
      </c>
      <c r="H309" s="13">
        <f t="shared" si="9"/>
        <v>43761.190726592089</v>
      </c>
    </row>
    <row r="310" spans="1:8" x14ac:dyDescent="0.35">
      <c r="A310" s="4" t="str">
        <f>Dummy_Variables!A310</f>
        <v>STR-1077</v>
      </c>
      <c r="B310" s="12">
        <f>Dummy_Variables!B310</f>
        <v>45689</v>
      </c>
      <c r="C310" s="4" t="str">
        <f>Dummy_Variables!C310</f>
        <v>South</v>
      </c>
      <c r="D310" s="4" t="str">
        <f>Dummy_Variables!D310</f>
        <v>Residential</v>
      </c>
      <c r="E310" s="13">
        <f>Dummy_Variables!P310</f>
        <v>538376</v>
      </c>
      <c r="F310" s="13">
        <f>Multiple_Regression!$B$44+Multiple_Regression!$B$45*Dummy_Variables!E310+Multiple_Regression!$B$46*Dummy_Variables!F310+Multiple_Regression!$B$47*Dummy_Variables!G310+Multiple_Regression!$B$48*Dummy_Variables!H310+Multiple_Regression!$B$49*Dummy_Variables!I310+Multiple_Regression!$B$50*Dummy_Variables!J310+Multiple_Regression!$B$51*Dummy_Variables!K310+Multiple_Regression!$B$52*Dummy_Variables!L310+Multiple_Regression!$B$53*Dummy_Variables!M310+Multiple_Regression!$B$54*Dummy_Variables!N310</f>
        <v>586918.5910320048</v>
      </c>
      <c r="G310" s="13">
        <f t="shared" si="8"/>
        <v>-48542.591032004799</v>
      </c>
      <c r="H310" s="13">
        <f t="shared" si="9"/>
        <v>48542.591032004799</v>
      </c>
    </row>
    <row r="311" spans="1:8" x14ac:dyDescent="0.35">
      <c r="A311" s="4" t="str">
        <f>Dummy_Variables!A311</f>
        <v>STR-1077</v>
      </c>
      <c r="B311" s="12">
        <f>Dummy_Variables!B311</f>
        <v>45717</v>
      </c>
      <c r="C311" s="4" t="str">
        <f>Dummy_Variables!C311</f>
        <v>South</v>
      </c>
      <c r="D311" s="4" t="str">
        <f>Dummy_Variables!D311</f>
        <v>Residential</v>
      </c>
      <c r="E311" s="13">
        <f>Dummy_Variables!P311</f>
        <v>665342.49</v>
      </c>
      <c r="F311" s="13">
        <f>Multiple_Regression!$B$44+Multiple_Regression!$B$45*Dummy_Variables!E311+Multiple_Regression!$B$46*Dummy_Variables!F311+Multiple_Regression!$B$47*Dummy_Variables!G311+Multiple_Regression!$B$48*Dummy_Variables!H311+Multiple_Regression!$B$49*Dummy_Variables!I311+Multiple_Regression!$B$50*Dummy_Variables!J311+Multiple_Regression!$B$51*Dummy_Variables!K311+Multiple_Regression!$B$52*Dummy_Variables!L311+Multiple_Regression!$B$53*Dummy_Variables!M311+Multiple_Regression!$B$54*Dummy_Variables!N311</f>
        <v>621746.89257147082</v>
      </c>
      <c r="G311" s="13">
        <f t="shared" si="8"/>
        <v>43595.597428529174</v>
      </c>
      <c r="H311" s="13">
        <f t="shared" si="9"/>
        <v>43595.597428529174</v>
      </c>
    </row>
    <row r="312" spans="1:8" x14ac:dyDescent="0.35">
      <c r="A312" s="4" t="str">
        <f>Dummy_Variables!A312</f>
        <v>STR-1077</v>
      </c>
      <c r="B312" s="12">
        <f>Dummy_Variables!B312</f>
        <v>45748</v>
      </c>
      <c r="C312" s="4" t="str">
        <f>Dummy_Variables!C312</f>
        <v>South</v>
      </c>
      <c r="D312" s="4" t="str">
        <f>Dummy_Variables!D312</f>
        <v>Residential</v>
      </c>
      <c r="E312" s="13">
        <f>Dummy_Variables!P312</f>
        <v>651164.18000000005</v>
      </c>
      <c r="F312" s="13">
        <f>Multiple_Regression!$B$44+Multiple_Regression!$B$45*Dummy_Variables!E312+Multiple_Regression!$B$46*Dummy_Variables!F312+Multiple_Regression!$B$47*Dummy_Variables!G312+Multiple_Regression!$B$48*Dummy_Variables!H312+Multiple_Regression!$B$49*Dummy_Variables!I312+Multiple_Regression!$B$50*Dummy_Variables!J312+Multiple_Regression!$B$51*Dummy_Variables!K312+Multiple_Regression!$B$52*Dummy_Variables!L312+Multiple_Regression!$B$53*Dummy_Variables!M312+Multiple_Regression!$B$54*Dummy_Variables!N312</f>
        <v>693397.50570679689</v>
      </c>
      <c r="G312" s="13">
        <f t="shared" si="8"/>
        <v>-42233.325706796837</v>
      </c>
      <c r="H312" s="13">
        <f t="shared" si="9"/>
        <v>42233.325706796837</v>
      </c>
    </row>
    <row r="313" spans="1:8" x14ac:dyDescent="0.35">
      <c r="A313" s="4" t="str">
        <f>Dummy_Variables!A313</f>
        <v>STR-1078</v>
      </c>
      <c r="B313" s="12">
        <f>Dummy_Variables!B313</f>
        <v>45658</v>
      </c>
      <c r="C313" s="4" t="str">
        <f>Dummy_Variables!C313</f>
        <v>South</v>
      </c>
      <c r="D313" s="4" t="str">
        <f>Dummy_Variables!D313</f>
        <v>High Street</v>
      </c>
      <c r="E313" s="13">
        <f>Dummy_Variables!P313</f>
        <v>628538.30000000005</v>
      </c>
      <c r="F313" s="13">
        <f>Multiple_Regression!$B$44+Multiple_Regression!$B$45*Dummy_Variables!E313+Multiple_Regression!$B$46*Dummy_Variables!F313+Multiple_Regression!$B$47*Dummy_Variables!G313+Multiple_Regression!$B$48*Dummy_Variables!H313+Multiple_Regression!$B$49*Dummy_Variables!I313+Multiple_Regression!$B$50*Dummy_Variables!J313+Multiple_Regression!$B$51*Dummy_Variables!K313+Multiple_Regression!$B$52*Dummy_Variables!L313+Multiple_Regression!$B$53*Dummy_Variables!M313+Multiple_Regression!$B$54*Dummy_Variables!N313</f>
        <v>641149.87732477579</v>
      </c>
      <c r="G313" s="13">
        <f t="shared" si="8"/>
        <v>-12611.577324775746</v>
      </c>
      <c r="H313" s="13">
        <f t="shared" si="9"/>
        <v>12611.577324775746</v>
      </c>
    </row>
    <row r="314" spans="1:8" x14ac:dyDescent="0.35">
      <c r="A314" s="4" t="str">
        <f>Dummy_Variables!A314</f>
        <v>STR-1078</v>
      </c>
      <c r="B314" s="12">
        <f>Dummy_Variables!B314</f>
        <v>45689</v>
      </c>
      <c r="C314" s="4" t="str">
        <f>Dummy_Variables!C314</f>
        <v>South</v>
      </c>
      <c r="D314" s="4" t="str">
        <f>Dummy_Variables!D314</f>
        <v>High Street</v>
      </c>
      <c r="E314" s="13">
        <f>Dummy_Variables!P314</f>
        <v>536524.84</v>
      </c>
      <c r="F314" s="13">
        <f>Multiple_Regression!$B$44+Multiple_Regression!$B$45*Dummy_Variables!E314+Multiple_Regression!$B$46*Dummy_Variables!F314+Multiple_Regression!$B$47*Dummy_Variables!G314+Multiple_Regression!$B$48*Dummy_Variables!H314+Multiple_Regression!$B$49*Dummy_Variables!I314+Multiple_Regression!$B$50*Dummy_Variables!J314+Multiple_Regression!$B$51*Dummy_Variables!K314+Multiple_Regression!$B$52*Dummy_Variables!L314+Multiple_Regression!$B$53*Dummy_Variables!M314+Multiple_Regression!$B$54*Dummy_Variables!N314</f>
        <v>583294.70014067623</v>
      </c>
      <c r="G314" s="13">
        <f t="shared" si="8"/>
        <v>-46769.860140676261</v>
      </c>
      <c r="H314" s="13">
        <f t="shared" si="9"/>
        <v>46769.860140676261</v>
      </c>
    </row>
    <row r="315" spans="1:8" x14ac:dyDescent="0.35">
      <c r="A315" s="4" t="str">
        <f>Dummy_Variables!A315</f>
        <v>STR-1078</v>
      </c>
      <c r="B315" s="12">
        <f>Dummy_Variables!B315</f>
        <v>45717</v>
      </c>
      <c r="C315" s="4" t="str">
        <f>Dummy_Variables!C315</f>
        <v>South</v>
      </c>
      <c r="D315" s="4" t="str">
        <f>Dummy_Variables!D315</f>
        <v>High Street</v>
      </c>
      <c r="E315" s="13">
        <f>Dummy_Variables!P315</f>
        <v>621677.30000000005</v>
      </c>
      <c r="F315" s="13">
        <f>Multiple_Regression!$B$44+Multiple_Regression!$B$45*Dummy_Variables!E315+Multiple_Regression!$B$46*Dummy_Variables!F315+Multiple_Regression!$B$47*Dummy_Variables!G315+Multiple_Regression!$B$48*Dummy_Variables!H315+Multiple_Regression!$B$49*Dummy_Variables!I315+Multiple_Regression!$B$50*Dummy_Variables!J315+Multiple_Regression!$B$51*Dummy_Variables!K315+Multiple_Regression!$B$52*Dummy_Variables!L315+Multiple_Regression!$B$53*Dummy_Variables!M315+Multiple_Regression!$B$54*Dummy_Variables!N315</f>
        <v>612084.98871529673</v>
      </c>
      <c r="G315" s="13">
        <f t="shared" si="8"/>
        <v>9592.311284703319</v>
      </c>
      <c r="H315" s="13">
        <f t="shared" si="9"/>
        <v>9592.311284703319</v>
      </c>
    </row>
    <row r="316" spans="1:8" x14ac:dyDescent="0.35">
      <c r="A316" s="4" t="str">
        <f>Dummy_Variables!A316</f>
        <v>STR-1078</v>
      </c>
      <c r="B316" s="12">
        <f>Dummy_Variables!B316</f>
        <v>45748</v>
      </c>
      <c r="C316" s="4" t="str">
        <f>Dummy_Variables!C316</f>
        <v>South</v>
      </c>
      <c r="D316" s="4" t="str">
        <f>Dummy_Variables!D316</f>
        <v>High Street</v>
      </c>
      <c r="E316" s="13">
        <f>Dummy_Variables!P316</f>
        <v>771129.07</v>
      </c>
      <c r="F316" s="13">
        <f>Multiple_Regression!$B$44+Multiple_Regression!$B$45*Dummy_Variables!E316+Multiple_Regression!$B$46*Dummy_Variables!F316+Multiple_Regression!$B$47*Dummy_Variables!G316+Multiple_Regression!$B$48*Dummy_Variables!H316+Multiple_Regression!$B$49*Dummy_Variables!I316+Multiple_Regression!$B$50*Dummy_Variables!J316+Multiple_Regression!$B$51*Dummy_Variables!K316+Multiple_Regression!$B$52*Dummy_Variables!L316+Multiple_Regression!$B$53*Dummy_Variables!M316+Multiple_Regression!$B$54*Dummy_Variables!N316</f>
        <v>758050.75918266294</v>
      </c>
      <c r="G316" s="13">
        <f t="shared" si="8"/>
        <v>13078.310817337013</v>
      </c>
      <c r="H316" s="13">
        <f t="shared" si="9"/>
        <v>13078.310817337013</v>
      </c>
    </row>
    <row r="317" spans="1:8" x14ac:dyDescent="0.35">
      <c r="A317" s="4" t="str">
        <f>Dummy_Variables!A317</f>
        <v>STR-1079</v>
      </c>
      <c r="B317" s="12">
        <f>Dummy_Variables!B317</f>
        <v>45658</v>
      </c>
      <c r="C317" s="4" t="str">
        <f>Dummy_Variables!C317</f>
        <v>North</v>
      </c>
      <c r="D317" s="4" t="str">
        <f>Dummy_Variables!D317</f>
        <v>Residential</v>
      </c>
      <c r="E317" s="13">
        <f>Dummy_Variables!P317</f>
        <v>702052.47</v>
      </c>
      <c r="F317" s="13">
        <f>Multiple_Regression!$B$44+Multiple_Regression!$B$45*Dummy_Variables!E317+Multiple_Regression!$B$46*Dummy_Variables!F317+Multiple_Regression!$B$47*Dummy_Variables!G317+Multiple_Regression!$B$48*Dummy_Variables!H317+Multiple_Regression!$B$49*Dummy_Variables!I317+Multiple_Regression!$B$50*Dummy_Variables!J317+Multiple_Regression!$B$51*Dummy_Variables!K317+Multiple_Regression!$B$52*Dummy_Variables!L317+Multiple_Regression!$B$53*Dummy_Variables!M317+Multiple_Regression!$B$54*Dummy_Variables!N317</f>
        <v>678191.3272527603</v>
      </c>
      <c r="G317" s="13">
        <f t="shared" si="8"/>
        <v>23861.142747239675</v>
      </c>
      <c r="H317" s="13">
        <f t="shared" si="9"/>
        <v>23861.142747239675</v>
      </c>
    </row>
    <row r="318" spans="1:8" x14ac:dyDescent="0.35">
      <c r="A318" s="4" t="str">
        <f>Dummy_Variables!A318</f>
        <v>STR-1079</v>
      </c>
      <c r="B318" s="12">
        <f>Dummy_Variables!B318</f>
        <v>45689</v>
      </c>
      <c r="C318" s="4" t="str">
        <f>Dummy_Variables!C318</f>
        <v>North</v>
      </c>
      <c r="D318" s="4" t="str">
        <f>Dummy_Variables!D318</f>
        <v>Residential</v>
      </c>
      <c r="E318" s="13">
        <f>Dummy_Variables!P318</f>
        <v>688368.46</v>
      </c>
      <c r="F318" s="13">
        <f>Multiple_Regression!$B$44+Multiple_Regression!$B$45*Dummy_Variables!E318+Multiple_Regression!$B$46*Dummy_Variables!F318+Multiple_Regression!$B$47*Dummy_Variables!G318+Multiple_Regression!$B$48*Dummy_Variables!H318+Multiple_Regression!$B$49*Dummy_Variables!I318+Multiple_Regression!$B$50*Dummy_Variables!J318+Multiple_Regression!$B$51*Dummy_Variables!K318+Multiple_Regression!$B$52*Dummy_Variables!L318+Multiple_Regression!$B$53*Dummy_Variables!M318+Multiple_Regression!$B$54*Dummy_Variables!N318</f>
        <v>712769.15667831211</v>
      </c>
      <c r="G318" s="13">
        <f t="shared" si="8"/>
        <v>-24400.696678312146</v>
      </c>
      <c r="H318" s="13">
        <f t="shared" si="9"/>
        <v>24400.696678312146</v>
      </c>
    </row>
    <row r="319" spans="1:8" x14ac:dyDescent="0.35">
      <c r="A319" s="4" t="str">
        <f>Dummy_Variables!A319</f>
        <v>STR-1079</v>
      </c>
      <c r="B319" s="12">
        <f>Dummy_Variables!B319</f>
        <v>45717</v>
      </c>
      <c r="C319" s="4" t="str">
        <f>Dummy_Variables!C319</f>
        <v>North</v>
      </c>
      <c r="D319" s="4" t="str">
        <f>Dummy_Variables!D319</f>
        <v>Residential</v>
      </c>
      <c r="E319" s="13">
        <f>Dummy_Variables!P319</f>
        <v>712375.77</v>
      </c>
      <c r="F319" s="13">
        <f>Multiple_Regression!$B$44+Multiple_Regression!$B$45*Dummy_Variables!E319+Multiple_Regression!$B$46*Dummy_Variables!F319+Multiple_Regression!$B$47*Dummy_Variables!G319+Multiple_Regression!$B$48*Dummy_Variables!H319+Multiple_Regression!$B$49*Dummy_Variables!I319+Multiple_Regression!$B$50*Dummy_Variables!J319+Multiple_Regression!$B$51*Dummy_Variables!K319+Multiple_Regression!$B$52*Dummy_Variables!L319+Multiple_Regression!$B$53*Dummy_Variables!M319+Multiple_Regression!$B$54*Dummy_Variables!N319</f>
        <v>694104.70600095904</v>
      </c>
      <c r="G319" s="13">
        <f t="shared" si="8"/>
        <v>18271.063999040984</v>
      </c>
      <c r="H319" s="13">
        <f t="shared" si="9"/>
        <v>18271.063999040984</v>
      </c>
    </row>
    <row r="320" spans="1:8" x14ac:dyDescent="0.35">
      <c r="A320" s="4" t="str">
        <f>Dummy_Variables!A320</f>
        <v>STR-1079</v>
      </c>
      <c r="B320" s="12">
        <f>Dummy_Variables!B320</f>
        <v>45748</v>
      </c>
      <c r="C320" s="4" t="str">
        <f>Dummy_Variables!C320</f>
        <v>North</v>
      </c>
      <c r="D320" s="4" t="str">
        <f>Dummy_Variables!D320</f>
        <v>Residential</v>
      </c>
      <c r="E320" s="13">
        <f>Dummy_Variables!P320</f>
        <v>844710.67</v>
      </c>
      <c r="F320" s="13">
        <f>Multiple_Regression!$B$44+Multiple_Regression!$B$45*Dummy_Variables!E320+Multiple_Regression!$B$46*Dummy_Variables!F320+Multiple_Regression!$B$47*Dummy_Variables!G320+Multiple_Regression!$B$48*Dummy_Variables!H320+Multiple_Regression!$B$49*Dummy_Variables!I320+Multiple_Regression!$B$50*Dummy_Variables!J320+Multiple_Regression!$B$51*Dummy_Variables!K320+Multiple_Regression!$B$52*Dummy_Variables!L320+Multiple_Regression!$B$53*Dummy_Variables!M320+Multiple_Regression!$B$54*Dummy_Variables!N320</f>
        <v>811312.57384065248</v>
      </c>
      <c r="G320" s="13">
        <f t="shared" si="8"/>
        <v>33398.096159347566</v>
      </c>
      <c r="H320" s="13">
        <f t="shared" si="9"/>
        <v>33398.096159347566</v>
      </c>
    </row>
    <row r="321" spans="1:8" x14ac:dyDescent="0.35">
      <c r="A321" s="4" t="str">
        <f>Dummy_Variables!A321</f>
        <v>STR-1080</v>
      </c>
      <c r="B321" s="12">
        <f>Dummy_Variables!B321</f>
        <v>45658</v>
      </c>
      <c r="C321" s="4" t="str">
        <f>Dummy_Variables!C321</f>
        <v>East</v>
      </c>
      <c r="D321" s="4" t="str">
        <f>Dummy_Variables!D321</f>
        <v>Residential</v>
      </c>
      <c r="E321" s="13">
        <f>Dummy_Variables!P321</f>
        <v>620264.19999999995</v>
      </c>
      <c r="F321" s="13">
        <f>Multiple_Regression!$B$44+Multiple_Regression!$B$45*Dummy_Variables!E321+Multiple_Regression!$B$46*Dummy_Variables!F321+Multiple_Regression!$B$47*Dummy_Variables!G321+Multiple_Regression!$B$48*Dummy_Variables!H321+Multiple_Regression!$B$49*Dummy_Variables!I321+Multiple_Regression!$B$50*Dummy_Variables!J321+Multiple_Regression!$B$51*Dummy_Variables!K321+Multiple_Regression!$B$52*Dummy_Variables!L321+Multiple_Regression!$B$53*Dummy_Variables!M321+Multiple_Regression!$B$54*Dummy_Variables!N321</f>
        <v>689517.47147779225</v>
      </c>
      <c r="G321" s="13">
        <f t="shared" si="8"/>
        <v>-69253.271477792296</v>
      </c>
      <c r="H321" s="13">
        <f t="shared" si="9"/>
        <v>69253.271477792296</v>
      </c>
    </row>
    <row r="322" spans="1:8" x14ac:dyDescent="0.35">
      <c r="A322" s="4" t="str">
        <f>Dummy_Variables!A322</f>
        <v>STR-1080</v>
      </c>
      <c r="B322" s="12">
        <f>Dummy_Variables!B322</f>
        <v>45689</v>
      </c>
      <c r="C322" s="4" t="str">
        <f>Dummy_Variables!C322</f>
        <v>East</v>
      </c>
      <c r="D322" s="4" t="str">
        <f>Dummy_Variables!D322</f>
        <v>Residential</v>
      </c>
      <c r="E322" s="13">
        <f>Dummy_Variables!P322</f>
        <v>536845.42000000004</v>
      </c>
      <c r="F322" s="13">
        <f>Multiple_Regression!$B$44+Multiple_Regression!$B$45*Dummy_Variables!E322+Multiple_Regression!$B$46*Dummy_Variables!F322+Multiple_Regression!$B$47*Dummy_Variables!G322+Multiple_Regression!$B$48*Dummy_Variables!H322+Multiple_Regression!$B$49*Dummy_Variables!I322+Multiple_Regression!$B$50*Dummy_Variables!J322+Multiple_Regression!$B$51*Dummy_Variables!K322+Multiple_Regression!$B$52*Dummy_Variables!L322+Multiple_Regression!$B$53*Dummy_Variables!M322+Multiple_Regression!$B$54*Dummy_Variables!N322</f>
        <v>535400.69555302744</v>
      </c>
      <c r="G322" s="13">
        <f t="shared" si="8"/>
        <v>1444.7244469725993</v>
      </c>
      <c r="H322" s="13">
        <f t="shared" si="9"/>
        <v>1444.7244469725993</v>
      </c>
    </row>
    <row r="323" spans="1:8" x14ac:dyDescent="0.35">
      <c r="A323" s="4" t="str">
        <f>Dummy_Variables!A323</f>
        <v>STR-1080</v>
      </c>
      <c r="B323" s="12">
        <f>Dummy_Variables!B323</f>
        <v>45717</v>
      </c>
      <c r="C323" s="4" t="str">
        <f>Dummy_Variables!C323</f>
        <v>East</v>
      </c>
      <c r="D323" s="4" t="str">
        <f>Dummy_Variables!D323</f>
        <v>Residential</v>
      </c>
      <c r="E323" s="13">
        <f>Dummy_Variables!P323</f>
        <v>726776.22</v>
      </c>
      <c r="F323" s="13">
        <f>Multiple_Regression!$B$44+Multiple_Regression!$B$45*Dummy_Variables!E323+Multiple_Regression!$B$46*Dummy_Variables!F323+Multiple_Regression!$B$47*Dummy_Variables!G323+Multiple_Regression!$B$48*Dummy_Variables!H323+Multiple_Regression!$B$49*Dummy_Variables!I323+Multiple_Regression!$B$50*Dummy_Variables!J323+Multiple_Regression!$B$51*Dummy_Variables!K323+Multiple_Regression!$B$52*Dummy_Variables!L323+Multiple_Regression!$B$53*Dummy_Variables!M323+Multiple_Regression!$B$54*Dummy_Variables!N323</f>
        <v>731945.18931040843</v>
      </c>
      <c r="G323" s="13">
        <f t="shared" si="8"/>
        <v>-5168.9693104084581</v>
      </c>
      <c r="H323" s="13">
        <f t="shared" si="9"/>
        <v>5168.9693104084581</v>
      </c>
    </row>
    <row r="324" spans="1:8" x14ac:dyDescent="0.35">
      <c r="A324" s="4" t="str">
        <f>Dummy_Variables!A324</f>
        <v>STR-1080</v>
      </c>
      <c r="B324" s="12">
        <f>Dummy_Variables!B324</f>
        <v>45748</v>
      </c>
      <c r="C324" s="4" t="str">
        <f>Dummy_Variables!C324</f>
        <v>East</v>
      </c>
      <c r="D324" s="4" t="str">
        <f>Dummy_Variables!D324</f>
        <v>Residential</v>
      </c>
      <c r="E324" s="13">
        <f>Dummy_Variables!P324</f>
        <v>559660.84</v>
      </c>
      <c r="F324" s="13">
        <f>Multiple_Regression!$B$44+Multiple_Regression!$B$45*Dummy_Variables!E324+Multiple_Regression!$B$46*Dummy_Variables!F324+Multiple_Regression!$B$47*Dummy_Variables!G324+Multiple_Regression!$B$48*Dummy_Variables!H324+Multiple_Regression!$B$49*Dummy_Variables!I324+Multiple_Regression!$B$50*Dummy_Variables!J324+Multiple_Regression!$B$51*Dummy_Variables!K324+Multiple_Regression!$B$52*Dummy_Variables!L324+Multiple_Regression!$B$53*Dummy_Variables!M324+Multiple_Regression!$B$54*Dummy_Variables!N324</f>
        <v>565269.11895418703</v>
      </c>
      <c r="G324" s="13">
        <f t="shared" si="8"/>
        <v>-5608.2789541870588</v>
      </c>
      <c r="H324" s="13">
        <f t="shared" si="9"/>
        <v>5608.2789541870588</v>
      </c>
    </row>
    <row r="327" spans="1:8" x14ac:dyDescent="0.35">
      <c r="A327" s="7" t="s">
        <v>161</v>
      </c>
    </row>
    <row r="328" spans="1:8" ht="26" x14ac:dyDescent="0.35">
      <c r="A328" s="3" t="s">
        <v>162</v>
      </c>
      <c r="B328" s="3" t="s">
        <v>2</v>
      </c>
      <c r="C328" s="3" t="s">
        <v>3</v>
      </c>
      <c r="D328" s="3" t="s">
        <v>5</v>
      </c>
      <c r="E328" s="3" t="s">
        <v>4</v>
      </c>
      <c r="F328" s="3" t="s">
        <v>14</v>
      </c>
      <c r="G328" s="3" t="s">
        <v>158</v>
      </c>
      <c r="H328" s="3" t="s">
        <v>159</v>
      </c>
    </row>
    <row r="329" spans="1:8" x14ac:dyDescent="0.35">
      <c r="A329" s="4">
        <v>1</v>
      </c>
      <c r="B329" s="4" t="str">
        <f>INDEX($A$5:$A$324,MATCH(LARGE($G$5:$G$324,1),$G$5:$G$324,0))</f>
        <v>STR-1058</v>
      </c>
      <c r="C329" s="12">
        <f>INDEX($B$5:$B$324,MATCH(LARGE($G$5:$G$324,1),$G$5:$G$324,0))</f>
        <v>45689</v>
      </c>
      <c r="D329" s="4" t="str">
        <f>INDEX($D$5:$D$324,MATCH(LARGE($G$5:$G$324,1),$G$5:$G$324,0))</f>
        <v>High Street</v>
      </c>
      <c r="E329" s="4" t="str">
        <f>INDEX($C$5:$C$324,MATCH(LARGE($G$5:$G$324,1),$G$5:$G$324,0))</f>
        <v>East</v>
      </c>
      <c r="F329" s="13">
        <f>INDEX($E$5:$E$324,MATCH(LARGE($G$5:$G$324,1),$G$5:$G$324,0))</f>
        <v>870937.4</v>
      </c>
      <c r="G329" s="13">
        <f>INDEX($F$5:$F$324,MATCH(LARGE($G$5:$G$324,1),$G$5:$G$324,0))</f>
        <v>767423.74200411665</v>
      </c>
      <c r="H329" s="13">
        <f>LARGE($G$5:$G$324,1)</f>
        <v>103513.65799588338</v>
      </c>
    </row>
    <row r="330" spans="1:8" x14ac:dyDescent="0.35">
      <c r="A330" s="4">
        <v>2</v>
      </c>
      <c r="B330" s="4" t="str">
        <f>INDEX($A$5:$A$324,MATCH(LARGE($G$5:$G$324,2),$G$5:$G$324,0))</f>
        <v>STR-1069</v>
      </c>
      <c r="C330" s="12">
        <f>INDEX($B$5:$B$324,MATCH(LARGE($G$5:$G$324,2),$G$5:$G$324,0))</f>
        <v>45748</v>
      </c>
      <c r="D330" s="4" t="str">
        <f>INDEX($D$5:$D$324,MATCH(LARGE($G$5:$G$324,2),$G$5:$G$324,0))</f>
        <v>High Street</v>
      </c>
      <c r="E330" s="4" t="str">
        <f>INDEX($C$5:$C$324,MATCH(LARGE($G$5:$G$324,2),$G$5:$G$324,0))</f>
        <v>West</v>
      </c>
      <c r="F330" s="13">
        <f>INDEX($E$5:$E$324,MATCH(LARGE($G$5:$G$324,2),$G$5:$G$324,0))</f>
        <v>686737.87</v>
      </c>
      <c r="G330" s="13">
        <f>INDEX($F$5:$F$324,MATCH(LARGE($G$5:$G$324,2),$G$5:$G$324,0))</f>
        <v>589093.17307928659</v>
      </c>
      <c r="H330" s="13">
        <f>LARGE($G$5:$G$324,2)</f>
        <v>97644.69692071341</v>
      </c>
    </row>
    <row r="331" spans="1:8" x14ac:dyDescent="0.35">
      <c r="A331" s="4">
        <v>3</v>
      </c>
      <c r="B331" s="4" t="str">
        <f>INDEX($A$5:$A$324,MATCH(LARGE($G$5:$G$324,3),$G$5:$G$324,0))</f>
        <v>STR-1030</v>
      </c>
      <c r="C331" s="12">
        <f>INDEX($B$5:$B$324,MATCH(LARGE($G$5:$G$324,3),$G$5:$G$324,0))</f>
        <v>45689</v>
      </c>
      <c r="D331" s="4" t="str">
        <f>INDEX($D$5:$D$324,MATCH(LARGE($G$5:$G$324,3),$G$5:$G$324,0))</f>
        <v>Residential</v>
      </c>
      <c r="E331" s="4" t="str">
        <f>INDEX($C$5:$C$324,MATCH(LARGE($G$5:$G$324,3),$G$5:$G$324,0))</f>
        <v>West</v>
      </c>
      <c r="F331" s="13">
        <f>INDEX($E$5:$E$324,MATCH(LARGE($G$5:$G$324,3),$G$5:$G$324,0))</f>
        <v>820519.04</v>
      </c>
      <c r="G331" s="13">
        <f>INDEX($F$5:$F$324,MATCH(LARGE($G$5:$G$324,3),$G$5:$G$324,0))</f>
        <v>728663.9618994362</v>
      </c>
      <c r="H331" s="13">
        <f>LARGE($G$5:$G$324,3)</f>
        <v>91855.078100563842</v>
      </c>
    </row>
    <row r="332" spans="1:8" x14ac:dyDescent="0.35">
      <c r="A332" s="4">
        <v>4</v>
      </c>
      <c r="B332" s="4" t="str">
        <f>INDEX($A$5:$A$324,MATCH(LARGE($G$5:$G$324,4),$G$5:$G$324,0))</f>
        <v>STR-1028</v>
      </c>
      <c r="C332" s="12">
        <f>INDEX($B$5:$B$324,MATCH(LARGE($G$5:$G$324,4),$G$5:$G$324,0))</f>
        <v>45748</v>
      </c>
      <c r="D332" s="4" t="str">
        <f>INDEX($D$5:$D$324,MATCH(LARGE($G$5:$G$324,4),$G$5:$G$324,0))</f>
        <v>Mall</v>
      </c>
      <c r="E332" s="4" t="str">
        <f>INDEX($C$5:$C$324,MATCH(LARGE($G$5:$G$324,4),$G$5:$G$324,0))</f>
        <v>East</v>
      </c>
      <c r="F332" s="13">
        <f>INDEX($E$5:$E$324,MATCH(LARGE($G$5:$G$324,4),$G$5:$G$324,0))</f>
        <v>713611.16</v>
      </c>
      <c r="G332" s="13">
        <f>INDEX($F$5:$F$324,MATCH(LARGE($G$5:$G$324,4),$G$5:$G$324,0))</f>
        <v>623402.38731585233</v>
      </c>
      <c r="H332" s="13">
        <f>LARGE($G$5:$G$324,4)</f>
        <v>90208.772684147698</v>
      </c>
    </row>
    <row r="333" spans="1:8" x14ac:dyDescent="0.35">
      <c r="A333" s="4">
        <v>5</v>
      </c>
      <c r="B333" s="4" t="str">
        <f>INDEX($A$5:$A$324,MATCH(LARGE($G$5:$G$324,5),$G$5:$G$324,0))</f>
        <v>STR-1059</v>
      </c>
      <c r="C333" s="12">
        <f>INDEX($B$5:$B$324,MATCH(LARGE($G$5:$G$324,5),$G$5:$G$324,0))</f>
        <v>45689</v>
      </c>
      <c r="D333" s="4" t="str">
        <f>INDEX($D$5:$D$324,MATCH(LARGE($G$5:$G$324,5),$G$5:$G$324,0))</f>
        <v>Residential</v>
      </c>
      <c r="E333" s="4" t="str">
        <f>INDEX($C$5:$C$324,MATCH(LARGE($G$5:$G$324,5),$G$5:$G$324,0))</f>
        <v>West</v>
      </c>
      <c r="F333" s="13">
        <f>INDEX($E$5:$E$324,MATCH(LARGE($G$5:$G$324,5),$G$5:$G$324,0))</f>
        <v>723305.11</v>
      </c>
      <c r="G333" s="13">
        <f>INDEX($F$5:$F$324,MATCH(LARGE($G$5:$G$324,5),$G$5:$G$324,0))</f>
        <v>636465.64791599079</v>
      </c>
      <c r="H333" s="13">
        <f>LARGE($G$5:$G$324,5)</f>
        <v>86839.462084009196</v>
      </c>
    </row>
    <row r="336" spans="1:8" x14ac:dyDescent="0.35">
      <c r="A336" s="7" t="s">
        <v>163</v>
      </c>
    </row>
    <row r="337" spans="1:8" ht="26" x14ac:dyDescent="0.35">
      <c r="A337" s="3" t="s">
        <v>162</v>
      </c>
      <c r="B337" s="3" t="s">
        <v>2</v>
      </c>
      <c r="C337" s="3" t="s">
        <v>3</v>
      </c>
      <c r="D337" s="3" t="s">
        <v>5</v>
      </c>
      <c r="E337" s="3" t="s">
        <v>4</v>
      </c>
      <c r="F337" s="3" t="s">
        <v>14</v>
      </c>
      <c r="G337" s="3" t="s">
        <v>158</v>
      </c>
      <c r="H337" s="3" t="s">
        <v>159</v>
      </c>
    </row>
    <row r="338" spans="1:8" x14ac:dyDescent="0.35">
      <c r="A338" s="4">
        <v>1</v>
      </c>
      <c r="B338" s="4" t="str">
        <f>INDEX($A$5:$A$324,MATCH(SMALL($G$5:$G$324,1),$G$5:$G$324,0))</f>
        <v>STR-1023</v>
      </c>
      <c r="C338" s="12">
        <f>INDEX($B$5:$B$324,MATCH(SMALL($G$5:$G$324,1),$G$5:$G$324,0))</f>
        <v>45689</v>
      </c>
      <c r="D338" s="4" t="str">
        <f>INDEX($D$5:$D$324,MATCH(SMALL($G$5:$G$324,1),$G$5:$G$324,0))</f>
        <v>Mall</v>
      </c>
      <c r="E338" s="4" t="str">
        <f>INDEX($C$5:$C$324,MATCH(SMALL($G$5:$G$324,1),$G$5:$G$324,0))</f>
        <v>South</v>
      </c>
      <c r="F338" s="13">
        <f>INDEX($E$5:$E$324,MATCH(SMALL($G$5:$G$324,1),$G$5:$G$324,0))</f>
        <v>627171.9</v>
      </c>
      <c r="G338" s="13">
        <f>INDEX($F$5:$F$324,MATCH(SMALL($G$5:$G$324,1),$G$5:$G$324,0))</f>
        <v>765254.56196536392</v>
      </c>
      <c r="H338" s="13">
        <f>SMALL($G$5:$G$324,1)</f>
        <v>-138082.66196536389</v>
      </c>
    </row>
    <row r="339" spans="1:8" x14ac:dyDescent="0.35">
      <c r="A339" s="4">
        <v>2</v>
      </c>
      <c r="B339" s="4" t="str">
        <f>INDEX($A$5:$A$324,MATCH(SMALL($G$5:$G$324,2),$G$5:$G$324,0))</f>
        <v>STR-1017</v>
      </c>
      <c r="C339" s="12">
        <f>INDEX($B$5:$B$324,MATCH(SMALL($G$5:$G$324,2),$G$5:$G$324,0))</f>
        <v>45717</v>
      </c>
      <c r="D339" s="4" t="str">
        <f>INDEX($D$5:$D$324,MATCH(SMALL($G$5:$G$324,2),$G$5:$G$324,0))</f>
        <v>High Street</v>
      </c>
      <c r="E339" s="4" t="str">
        <f>INDEX($C$5:$C$324,MATCH(SMALL($G$5:$G$324,2),$G$5:$G$324,0))</f>
        <v>West</v>
      </c>
      <c r="F339" s="13">
        <f>INDEX($E$5:$E$324,MATCH(SMALL($G$5:$G$324,2),$G$5:$G$324,0))</f>
        <v>685379.08</v>
      </c>
      <c r="G339" s="13">
        <f>INDEX($F$5:$F$324,MATCH(SMALL($G$5:$G$324,2),$G$5:$G$324,0))</f>
        <v>803619.65500432847</v>
      </c>
      <c r="H339" s="13">
        <f>SMALL($G$5:$G$324,2)</f>
        <v>-118240.57500432851</v>
      </c>
    </row>
    <row r="340" spans="1:8" x14ac:dyDescent="0.35">
      <c r="A340" s="4">
        <v>3</v>
      </c>
      <c r="B340" s="4" t="str">
        <f>INDEX($A$5:$A$324,MATCH(SMALL($G$5:$G$324,3),$G$5:$G$324,0))</f>
        <v>STR-1068</v>
      </c>
      <c r="C340" s="12">
        <f>INDEX($B$5:$B$324,MATCH(SMALL($G$5:$G$324,3),$G$5:$G$324,0))</f>
        <v>45658</v>
      </c>
      <c r="D340" s="4" t="str">
        <f>INDEX($D$5:$D$324,MATCH(SMALL($G$5:$G$324,3),$G$5:$G$324,0))</f>
        <v>Mall</v>
      </c>
      <c r="E340" s="4" t="str">
        <f>INDEX($C$5:$C$324,MATCH(SMALL($G$5:$G$324,3),$G$5:$G$324,0))</f>
        <v>East</v>
      </c>
      <c r="F340" s="13">
        <f>INDEX($E$5:$E$324,MATCH(SMALL($G$5:$G$324,3),$G$5:$G$324,0))</f>
        <v>660633.99</v>
      </c>
      <c r="G340" s="13">
        <f>INDEX($F$5:$F$324,MATCH(SMALL($G$5:$G$324,3),$G$5:$G$324,0))</f>
        <v>761573.66170936625</v>
      </c>
      <c r="H340" s="13">
        <f>SMALL($G$5:$G$324,3)</f>
        <v>-100939.67170936626</v>
      </c>
    </row>
    <row r="341" spans="1:8" x14ac:dyDescent="0.35">
      <c r="A341" s="4">
        <v>4</v>
      </c>
      <c r="B341" s="4" t="str">
        <f>INDEX($A$5:$A$324,MATCH(SMALL($G$5:$G$324,4),$G$5:$G$324,0))</f>
        <v>STR-1012</v>
      </c>
      <c r="C341" s="12">
        <f>INDEX($B$5:$B$324,MATCH(SMALL($G$5:$G$324,4),$G$5:$G$324,0))</f>
        <v>45658</v>
      </c>
      <c r="D341" s="4" t="str">
        <f>INDEX($D$5:$D$324,MATCH(SMALL($G$5:$G$324,4),$G$5:$G$324,0))</f>
        <v>Residential</v>
      </c>
      <c r="E341" s="4" t="str">
        <f>INDEX($C$5:$C$324,MATCH(SMALL($G$5:$G$324,4),$G$5:$G$324,0))</f>
        <v>West</v>
      </c>
      <c r="F341" s="13">
        <f>INDEX($E$5:$E$324,MATCH(SMALL($G$5:$G$324,4),$G$5:$G$324,0))</f>
        <v>595467.6</v>
      </c>
      <c r="G341" s="13">
        <f>INDEX($F$5:$F$324,MATCH(SMALL($G$5:$G$324,4),$G$5:$G$324,0))</f>
        <v>691725.11898924829</v>
      </c>
      <c r="H341" s="13">
        <f>SMALL($G$5:$G$324,4)</f>
        <v>-96257.518989248318</v>
      </c>
    </row>
    <row r="342" spans="1:8" x14ac:dyDescent="0.35">
      <c r="A342" s="4">
        <v>5</v>
      </c>
      <c r="B342" s="4" t="str">
        <f>INDEX($A$5:$A$324,MATCH(SMALL($G$5:$G$324,5),$G$5:$G$324,0))</f>
        <v>STR-1007</v>
      </c>
      <c r="C342" s="12">
        <f>INDEX($B$5:$B$324,MATCH(SMALL($G$5:$G$324,5),$G$5:$G$324,0))</f>
        <v>45689</v>
      </c>
      <c r="D342" s="4" t="str">
        <f>INDEX($D$5:$D$324,MATCH(SMALL($G$5:$G$324,5),$G$5:$G$324,0))</f>
        <v>Mall</v>
      </c>
      <c r="E342" s="4" t="str">
        <f>INDEX($C$5:$C$324,MATCH(SMALL($G$5:$G$324,5),$G$5:$G$324,0))</f>
        <v>West</v>
      </c>
      <c r="F342" s="13">
        <f>INDEX($E$5:$E$324,MATCH(SMALL($G$5:$G$324,5),$G$5:$G$324,0))</f>
        <v>800451.94</v>
      </c>
      <c r="G342" s="13">
        <f>INDEX($F$5:$F$324,MATCH(SMALL($G$5:$G$324,5),$G$5:$G$324,0))</f>
        <v>895528.44925972342</v>
      </c>
      <c r="H342" s="13">
        <f>SMALL($G$5:$G$324,5)</f>
        <v>-95076.509259723476</v>
      </c>
    </row>
  </sheetData>
  <autoFilter ref="A4:H324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showGridLines="0" tabSelected="1" zoomScaleNormal="100" workbookViewId="0">
      <selection activeCell="B7" sqref="B7"/>
    </sheetView>
  </sheetViews>
  <sheetFormatPr defaultColWidth="8.6328125" defaultRowHeight="14.5" x14ac:dyDescent="0.35"/>
  <cols>
    <col min="1" max="1" width="18" customWidth="1"/>
    <col min="2" max="2" width="11" customWidth="1"/>
    <col min="3" max="3" width="32" customWidth="1"/>
    <col min="4" max="4" width="12" customWidth="1"/>
    <col min="5" max="5" width="14" customWidth="1"/>
    <col min="6" max="6" width="16" customWidth="1"/>
    <col min="7" max="7" width="8" customWidth="1"/>
  </cols>
  <sheetData>
    <row r="1" spans="1:7" ht="18" x14ac:dyDescent="0.4">
      <c r="A1" s="1" t="s">
        <v>164</v>
      </c>
    </row>
    <row r="2" spans="1:7" x14ac:dyDescent="0.35">
      <c r="A2" s="2" t="s">
        <v>165</v>
      </c>
    </row>
    <row r="4" spans="1:7" x14ac:dyDescent="0.35">
      <c r="A4" s="3" t="s">
        <v>166</v>
      </c>
      <c r="B4" s="3" t="s">
        <v>167</v>
      </c>
      <c r="C4" s="3" t="s">
        <v>168</v>
      </c>
      <c r="D4" s="3" t="s">
        <v>127</v>
      </c>
      <c r="E4" s="3" t="s">
        <v>169</v>
      </c>
      <c r="F4" s="3" t="s">
        <v>170</v>
      </c>
      <c r="G4" s="3" t="s">
        <v>171</v>
      </c>
    </row>
    <row r="5" spans="1:7" x14ac:dyDescent="0.35">
      <c r="A5" s="4" t="s">
        <v>172</v>
      </c>
      <c r="B5" s="4" t="s">
        <v>173</v>
      </c>
      <c r="C5" s="4" t="s">
        <v>6</v>
      </c>
      <c r="D5" s="9">
        <f>Simple_Regression!B14</f>
        <v>0.16724469112487</v>
      </c>
      <c r="E5" s="9" t="s">
        <v>174</v>
      </c>
      <c r="F5" s="10">
        <f>Simple_Regression!B18</f>
        <v>2.4800615101360068E-14</v>
      </c>
      <c r="G5" s="4">
        <v>320</v>
      </c>
    </row>
    <row r="6" spans="1:7" x14ac:dyDescent="0.35">
      <c r="A6" s="4" t="s">
        <v>175</v>
      </c>
      <c r="B6" s="4" t="s">
        <v>173</v>
      </c>
      <c r="C6" s="4" t="s">
        <v>7</v>
      </c>
      <c r="D6" s="9">
        <f>Simple_Regression!B33</f>
        <v>0.73628534000331114</v>
      </c>
      <c r="E6" s="9" t="s">
        <v>174</v>
      </c>
      <c r="F6" s="10">
        <f>Simple_Regression!B37</f>
        <v>4.7503615090054677E-94</v>
      </c>
      <c r="G6" s="4">
        <v>320</v>
      </c>
    </row>
    <row r="7" spans="1:7" x14ac:dyDescent="0.35">
      <c r="A7" s="4" t="s">
        <v>176</v>
      </c>
      <c r="B7" s="4" t="s">
        <v>173</v>
      </c>
      <c r="C7" s="4" t="s">
        <v>8</v>
      </c>
      <c r="D7" s="9">
        <f>Simple_Regression!B52</f>
        <v>8.2905030244002989E-3</v>
      </c>
      <c r="E7" s="9" t="s">
        <v>174</v>
      </c>
      <c r="F7" s="10">
        <f>Simple_Regression!B56</f>
        <v>0.10399304641903374</v>
      </c>
      <c r="G7" s="4">
        <v>320</v>
      </c>
    </row>
    <row r="8" spans="1:7" x14ac:dyDescent="0.35">
      <c r="A8" s="4" t="s">
        <v>177</v>
      </c>
      <c r="B8" s="4" t="s">
        <v>178</v>
      </c>
      <c r="C8" s="4" t="s">
        <v>179</v>
      </c>
      <c r="D8" s="9">
        <f>Multiple_Regression!B27</f>
        <v>0.84699061819335952</v>
      </c>
      <c r="E8" s="9">
        <f>Multiple_Regression!B28</f>
        <v>0.84152599741455092</v>
      </c>
      <c r="F8" s="10" t="s">
        <v>180</v>
      </c>
      <c r="G8" s="4">
        <v>320</v>
      </c>
    </row>
    <row r="9" spans="1:7" x14ac:dyDescent="0.35">
      <c r="A9" s="14" t="s">
        <v>181</v>
      </c>
      <c r="B9" s="14" t="s">
        <v>178</v>
      </c>
      <c r="C9" s="14" t="s">
        <v>182</v>
      </c>
      <c r="D9" s="15">
        <f>Multiple_Regression!B56</f>
        <v>0.8430538298968544</v>
      </c>
      <c r="E9" s="15">
        <f>Multiple_Regression!B57</f>
        <v>0.83797466581584645</v>
      </c>
      <c r="F9" s="16" t="s">
        <v>180</v>
      </c>
      <c r="G9" s="14">
        <v>320</v>
      </c>
    </row>
    <row r="11" spans="1:7" x14ac:dyDescent="0.35">
      <c r="A11" s="2" t="s">
        <v>183</v>
      </c>
    </row>
    <row r="12" spans="1:7" x14ac:dyDescent="0.35">
      <c r="A12" s="2" t="s">
        <v>184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Original_Data</vt:lpstr>
      <vt:lpstr>Cleaned_Data</vt:lpstr>
      <vt:lpstr>Dummy_Variables</vt:lpstr>
      <vt:lpstr>Simple_Regression</vt:lpstr>
      <vt:lpstr>Multiple_Regression</vt:lpstr>
      <vt:lpstr>Predictions_Residuals</vt:lpstr>
      <vt:lpstr>Model_Comparison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Kunal Gola</cp:lastModifiedBy>
  <cp:revision>0</cp:revision>
  <dcterms:created xsi:type="dcterms:W3CDTF">2026-06-26T11:52:36Z</dcterms:created>
  <dcterms:modified xsi:type="dcterms:W3CDTF">2026-06-26T22:12:12Z</dcterms:modified>
  <dc:language>en-US</dc:language>
</cp:coreProperties>
</file>